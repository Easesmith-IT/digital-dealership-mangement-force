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ice Template\Finance\Workshop related\Reporting\KRA Scoring\"/>
    </mc:Choice>
  </mc:AlternateContent>
  <xr:revisionPtr revIDLastSave="0" documentId="8_{598A1E5C-C9B6-4F18-A7C2-A3150730EE25}" xr6:coauthVersionLast="47" xr6:coauthVersionMax="47" xr10:uidLastSave="{00000000-0000-0000-0000-000000000000}"/>
  <bookViews>
    <workbookView xWindow="-110" yWindow="-110" windowWidth="19420" windowHeight="11500" firstSheet="3" activeTab="5" xr2:uid="{816790A9-B324-4791-BDF8-5F658D1CD635}"/>
  </bookViews>
  <sheets>
    <sheet name="Data" sheetId="1" r:id="rId1"/>
    <sheet name="Incentive" sheetId="2" r:id="rId2"/>
    <sheet name="KRA Assessment Mechanic" sheetId="4" r:id="rId3"/>
    <sheet name="Mechanic KRA Print" sheetId="5" r:id="rId4"/>
    <sheet name="Spare part" sheetId="6" r:id="rId5"/>
    <sheet name="Spare part admin" sheetId="7" r:id="rId6"/>
    <sheet name="Service advisor" sheetId="8" r:id="rId7"/>
  </sheets>
  <definedNames>
    <definedName name="_xlnm.Print_Area" localSheetId="3">'Mechanic KRA Print'!$A$1:$F$55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8" l="1"/>
  <c r="F34" i="8"/>
  <c r="M8" i="8"/>
  <c r="M16" i="8"/>
  <c r="M24" i="8"/>
  <c r="M32" i="8"/>
  <c r="F32" i="8"/>
  <c r="F24" i="8"/>
  <c r="F16" i="8"/>
  <c r="F8" i="8"/>
  <c r="T34" i="7"/>
  <c r="T8" i="7"/>
  <c r="T16" i="7"/>
  <c r="T24" i="7"/>
  <c r="T32" i="7"/>
  <c r="M34" i="7"/>
  <c r="F34" i="7"/>
  <c r="M32" i="7"/>
  <c r="M24" i="7"/>
  <c r="M16" i="7"/>
  <c r="M8" i="7"/>
  <c r="F32" i="7"/>
  <c r="F24" i="7"/>
  <c r="F16" i="7"/>
  <c r="F8" i="7"/>
  <c r="M35" i="6"/>
  <c r="M33" i="6"/>
  <c r="M25" i="6"/>
  <c r="M17" i="6"/>
  <c r="M9" i="6"/>
  <c r="F35" i="6" l="1"/>
  <c r="F33" i="6"/>
  <c r="F25" i="6"/>
  <c r="F17" i="6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M31" i="8"/>
  <c r="L31" i="8"/>
  <c r="K31" i="8"/>
  <c r="J31" i="8"/>
  <c r="I31" i="8"/>
  <c r="M23" i="8"/>
  <c r="L23" i="8"/>
  <c r="K23" i="8"/>
  <c r="J23" i="8"/>
  <c r="I23" i="8"/>
  <c r="M15" i="8"/>
  <c r="L15" i="8"/>
  <c r="K15" i="8"/>
  <c r="J15" i="8"/>
  <c r="I15" i="8"/>
  <c r="M7" i="8"/>
  <c r="L7" i="8"/>
  <c r="K7" i="8"/>
  <c r="J7" i="8"/>
  <c r="I7" i="8"/>
  <c r="F31" i="8"/>
  <c r="E31" i="8"/>
  <c r="D31" i="8"/>
  <c r="C31" i="8"/>
  <c r="B31" i="8"/>
  <c r="F23" i="8"/>
  <c r="E23" i="8"/>
  <c r="D23" i="8"/>
  <c r="C23" i="8"/>
  <c r="B23" i="8"/>
  <c r="F15" i="8"/>
  <c r="E15" i="8"/>
  <c r="D15" i="8"/>
  <c r="C15" i="8"/>
  <c r="B15" i="8"/>
  <c r="F7" i="8"/>
  <c r="E7" i="8"/>
  <c r="D7" i="8"/>
  <c r="C7" i="8"/>
  <c r="B7" i="8"/>
  <c r="T31" i="7"/>
  <c r="S31" i="7"/>
  <c r="R31" i="7"/>
  <c r="Q31" i="7"/>
  <c r="P31" i="7"/>
  <c r="M31" i="7"/>
  <c r="L31" i="7"/>
  <c r="K31" i="7"/>
  <c r="J31" i="7"/>
  <c r="I31" i="7"/>
  <c r="F31" i="7"/>
  <c r="E31" i="7"/>
  <c r="D31" i="7"/>
  <c r="C31" i="7"/>
  <c r="B31" i="7"/>
  <c r="T23" i="7"/>
  <c r="S23" i="7"/>
  <c r="R23" i="7"/>
  <c r="Q23" i="7"/>
  <c r="P23" i="7"/>
  <c r="M23" i="7"/>
  <c r="L23" i="7"/>
  <c r="K23" i="7"/>
  <c r="J23" i="7"/>
  <c r="I23" i="7"/>
  <c r="F23" i="7"/>
  <c r="E23" i="7"/>
  <c r="D23" i="7"/>
  <c r="C23" i="7"/>
  <c r="B23" i="7"/>
  <c r="T15" i="7"/>
  <c r="S15" i="7"/>
  <c r="R15" i="7"/>
  <c r="Q15" i="7"/>
  <c r="P15" i="7"/>
  <c r="M15" i="7"/>
  <c r="L15" i="7"/>
  <c r="K15" i="7"/>
  <c r="J15" i="7"/>
  <c r="I15" i="7"/>
  <c r="F15" i="7"/>
  <c r="E15" i="7"/>
  <c r="D15" i="7"/>
  <c r="C15" i="7"/>
  <c r="B15" i="7"/>
  <c r="M7" i="7"/>
  <c r="L7" i="7"/>
  <c r="K7" i="7"/>
  <c r="J7" i="7"/>
  <c r="I7" i="7"/>
  <c r="T7" i="7"/>
  <c r="S7" i="7"/>
  <c r="R7" i="7"/>
  <c r="Q7" i="7"/>
  <c r="P7" i="7"/>
  <c r="F7" i="7"/>
  <c r="E7" i="7"/>
  <c r="D7" i="7"/>
  <c r="C7" i="7"/>
  <c r="B7" i="7"/>
  <c r="M32" i="6"/>
  <c r="L32" i="6"/>
  <c r="K32" i="6"/>
  <c r="J32" i="6"/>
  <c r="I32" i="6"/>
  <c r="M24" i="6"/>
  <c r="L24" i="6"/>
  <c r="K24" i="6"/>
  <c r="J24" i="6"/>
  <c r="I24" i="6"/>
  <c r="M16" i="6"/>
  <c r="L16" i="6"/>
  <c r="K16" i="6"/>
  <c r="J16" i="6"/>
  <c r="I16" i="6"/>
  <c r="M8" i="6"/>
  <c r="L8" i="6"/>
  <c r="K8" i="6"/>
  <c r="J8" i="6"/>
  <c r="I8" i="6"/>
  <c r="F32" i="6"/>
  <c r="E32" i="6"/>
  <c r="D32" i="6"/>
  <c r="C32" i="6"/>
  <c r="B32" i="6"/>
  <c r="F24" i="6"/>
  <c r="E24" i="6"/>
  <c r="D24" i="6"/>
  <c r="C24" i="6"/>
  <c r="B24" i="6"/>
  <c r="F16" i="6"/>
  <c r="E16" i="6"/>
  <c r="D16" i="6"/>
  <c r="C16" i="6"/>
  <c r="B16" i="6"/>
  <c r="F8" i="6"/>
  <c r="E8" i="6"/>
  <c r="D8" i="6"/>
  <c r="C8" i="6"/>
  <c r="B8" i="6"/>
  <c r="K6" i="4"/>
  <c r="K7" i="4"/>
  <c r="L74" i="2"/>
  <c r="K74" i="2"/>
  <c r="J74" i="2"/>
  <c r="I74" i="2"/>
  <c r="H74" i="2"/>
  <c r="L65" i="2"/>
  <c r="K65" i="2"/>
  <c r="J65" i="2"/>
  <c r="I65" i="2"/>
  <c r="H65" i="2"/>
  <c r="B34" i="2"/>
  <c r="K2" i="4"/>
  <c r="L2" i="4" s="1"/>
  <c r="K3" i="4"/>
  <c r="K4" i="4"/>
  <c r="K5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L25" i="4" s="1"/>
  <c r="K26" i="4"/>
  <c r="K27" i="4"/>
  <c r="K28" i="4"/>
  <c r="K29" i="4"/>
  <c r="K30" i="4"/>
  <c r="K31" i="4"/>
  <c r="K32" i="4"/>
  <c r="K33" i="4"/>
  <c r="K34" i="4"/>
  <c r="L34" i="4" s="1"/>
  <c r="K35" i="4"/>
  <c r="K36" i="4"/>
  <c r="K37" i="4"/>
  <c r="K38" i="4"/>
  <c r="K39" i="4"/>
  <c r="K40" i="4"/>
  <c r="K41" i="4"/>
  <c r="L41" i="4" s="1"/>
  <c r="K42" i="4"/>
  <c r="K43" i="4"/>
  <c r="K44" i="4"/>
  <c r="K45" i="4"/>
  <c r="K46" i="4"/>
  <c r="K47" i="4"/>
  <c r="K48" i="4"/>
  <c r="K49" i="4"/>
  <c r="K50" i="4"/>
  <c r="K51" i="4"/>
  <c r="L51" i="4" s="1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L77" i="4" s="1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L133" i="4" s="1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F9" i="6" l="1"/>
  <c r="L78" i="4"/>
  <c r="L79" i="4"/>
  <c r="L45" i="4"/>
  <c r="L42" i="4"/>
  <c r="L118" i="4"/>
  <c r="L44" i="4"/>
  <c r="L102" i="4"/>
  <c r="L122" i="4"/>
  <c r="L114" i="4"/>
  <c r="L40" i="4"/>
  <c r="L98" i="4"/>
  <c r="L120" i="4"/>
  <c r="L112" i="4"/>
  <c r="L104" i="4"/>
  <c r="L43" i="4"/>
  <c r="L123" i="4"/>
  <c r="L119" i="4"/>
  <c r="L115" i="4"/>
  <c r="L111" i="4"/>
  <c r="L107" i="4"/>
  <c r="L103" i="4"/>
  <c r="L99" i="4"/>
  <c r="L35" i="4"/>
  <c r="L125" i="4"/>
  <c r="L50" i="4"/>
  <c r="L110" i="4"/>
  <c r="L106" i="4"/>
  <c r="L121" i="4"/>
  <c r="L117" i="4"/>
  <c r="L113" i="4"/>
  <c r="L109" i="4"/>
  <c r="L105" i="4"/>
  <c r="L101" i="4"/>
  <c r="L116" i="4"/>
  <c r="L108" i="4"/>
  <c r="L100" i="4"/>
  <c r="L70" i="4"/>
  <c r="L71" i="4"/>
  <c r="L3" i="4"/>
  <c r="L69" i="4"/>
  <c r="L68" i="4"/>
  <c r="L72" i="4"/>
  <c r="L73" i="4"/>
  <c r="L75" i="4"/>
  <c r="L74" i="4"/>
  <c r="L76" i="4"/>
  <c r="L83" i="4"/>
  <c r="L84" i="4"/>
  <c r="L85" i="4"/>
  <c r="L87" i="4"/>
  <c r="L86" i="4"/>
  <c r="L88" i="4"/>
  <c r="L89" i="4"/>
  <c r="L90" i="4"/>
  <c r="L91" i="4"/>
  <c r="L24" i="4"/>
  <c r="L93" i="4"/>
  <c r="L92" i="4"/>
  <c r="L94" i="4"/>
  <c r="L95" i="4"/>
  <c r="L96" i="4"/>
  <c r="L97" i="4"/>
  <c r="L126" i="4"/>
  <c r="L127" i="4"/>
  <c r="L128" i="4"/>
  <c r="L129" i="4"/>
  <c r="L132" i="4"/>
  <c r="L131" i="4"/>
  <c r="L130" i="4"/>
  <c r="L82" i="4"/>
  <c r="L124" i="4"/>
  <c r="L81" i="4"/>
  <c r="L80" i="4"/>
  <c r="L64" i="4"/>
  <c r="L16" i="4"/>
  <c r="L8" i="4"/>
  <c r="L60" i="4"/>
  <c r="L56" i="4"/>
  <c r="L52" i="4"/>
  <c r="L48" i="4"/>
  <c r="L36" i="4"/>
  <c r="L32" i="4"/>
  <c r="L28" i="4"/>
  <c r="L20" i="4"/>
  <c r="L12" i="4"/>
  <c r="L66" i="4"/>
  <c r="L67" i="4"/>
  <c r="L62" i="4"/>
  <c r="L58" i="4"/>
  <c r="L54" i="4"/>
  <c r="L46" i="4"/>
  <c r="L38" i="4"/>
  <c r="L30" i="4"/>
  <c r="L26" i="4"/>
  <c r="L22" i="4"/>
  <c r="L18" i="4"/>
  <c r="L14" i="4"/>
  <c r="L10" i="4"/>
  <c r="L4" i="4"/>
  <c r="L6" i="4"/>
  <c r="L65" i="4"/>
  <c r="L33" i="4"/>
  <c r="L57" i="4"/>
  <c r="L49" i="4"/>
  <c r="L17" i="4"/>
  <c r="L9" i="4"/>
  <c r="L63" i="4"/>
  <c r="L55" i="4"/>
  <c r="L47" i="4"/>
  <c r="L39" i="4"/>
  <c r="L31" i="4"/>
  <c r="L23" i="4"/>
  <c r="L15" i="4"/>
  <c r="L7" i="4"/>
  <c r="L61" i="4"/>
  <c r="L53" i="4"/>
  <c r="L37" i="4"/>
  <c r="L29" i="4"/>
  <c r="L21" i="4"/>
  <c r="L13" i="4"/>
  <c r="L5" i="4"/>
  <c r="L59" i="4"/>
  <c r="L27" i="4"/>
  <c r="L19" i="4"/>
  <c r="L11" i="4"/>
  <c r="M74" i="2"/>
  <c r="M65" i="2"/>
  <c r="E46" i="2"/>
  <c r="D46" i="2"/>
  <c r="C46" i="2"/>
  <c r="B46" i="2"/>
  <c r="B45" i="2"/>
  <c r="C44" i="2" l="1"/>
  <c r="C45" i="2" s="1"/>
  <c r="D44" i="2" l="1"/>
  <c r="D45" i="2" s="1"/>
  <c r="E44" i="2" l="1"/>
  <c r="E45" i="2" s="1"/>
  <c r="L57" i="2" l="1"/>
  <c r="K57" i="2"/>
  <c r="J57" i="2"/>
  <c r="I57" i="2"/>
  <c r="H57" i="2"/>
  <c r="L49" i="2"/>
  <c r="K49" i="2"/>
  <c r="J49" i="2"/>
  <c r="I49" i="2"/>
  <c r="H49" i="2"/>
  <c r="M57" i="2" l="1"/>
  <c r="M49" i="2"/>
  <c r="B28" i="2" l="1"/>
  <c r="C28" i="2"/>
  <c r="D28" i="2" l="1"/>
  <c r="E28" i="2" l="1"/>
  <c r="L31" i="2" l="1"/>
  <c r="K31" i="2"/>
  <c r="J31" i="2"/>
  <c r="I31" i="2"/>
  <c r="H31" i="2"/>
  <c r="B19" i="2"/>
  <c r="L22" i="2"/>
  <c r="K22" i="2"/>
  <c r="J22" i="2"/>
  <c r="I22" i="2"/>
  <c r="H22" i="2"/>
  <c r="M31" i="2" l="1"/>
  <c r="M22" i="2"/>
  <c r="L13" i="2"/>
  <c r="K13" i="2"/>
  <c r="J13" i="2"/>
  <c r="I13" i="2"/>
  <c r="H13" i="2"/>
  <c r="M13" i="2" l="1"/>
  <c r="C18" i="2"/>
  <c r="Q39" i="1"/>
  <c r="Q38" i="1"/>
  <c r="Q37" i="1"/>
  <c r="Q36" i="1"/>
  <c r="Q35" i="1"/>
  <c r="Q34" i="1"/>
  <c r="Q29" i="1"/>
  <c r="Q28" i="1"/>
  <c r="Q27" i="1"/>
  <c r="Q26" i="1"/>
  <c r="Q25" i="1"/>
  <c r="Q24" i="1"/>
  <c r="Q19" i="1"/>
  <c r="Q18" i="1"/>
  <c r="Q17" i="1"/>
  <c r="Q16" i="1"/>
  <c r="Q15" i="1"/>
  <c r="Q14" i="1"/>
  <c r="Q8" i="1"/>
  <c r="Q7" i="1"/>
  <c r="Q6" i="1"/>
  <c r="M39" i="1"/>
  <c r="M38" i="1"/>
  <c r="M37" i="1"/>
  <c r="M36" i="1"/>
  <c r="M35" i="1"/>
  <c r="M34" i="1"/>
  <c r="M29" i="1"/>
  <c r="M28" i="1"/>
  <c r="M27" i="1"/>
  <c r="M26" i="1"/>
  <c r="M25" i="1"/>
  <c r="M24" i="1"/>
  <c r="M19" i="1"/>
  <c r="M18" i="1"/>
  <c r="M17" i="1"/>
  <c r="M16" i="1"/>
  <c r="M15" i="1"/>
  <c r="M14" i="1"/>
  <c r="M8" i="1"/>
  <c r="M7" i="1"/>
  <c r="M6" i="1"/>
  <c r="I39" i="1"/>
  <c r="I38" i="1"/>
  <c r="I37" i="1"/>
  <c r="I36" i="1"/>
  <c r="I35" i="1"/>
  <c r="I34" i="1"/>
  <c r="I29" i="1"/>
  <c r="I28" i="1"/>
  <c r="I27" i="1"/>
  <c r="I26" i="1"/>
  <c r="I25" i="1"/>
  <c r="I24" i="1"/>
  <c r="I19" i="1"/>
  <c r="I18" i="1"/>
  <c r="I17" i="1"/>
  <c r="I16" i="1"/>
  <c r="I15" i="1"/>
  <c r="I14" i="1"/>
  <c r="I8" i="1"/>
  <c r="I7" i="1"/>
  <c r="I6" i="1"/>
  <c r="E7" i="1"/>
  <c r="E8" i="1"/>
  <c r="E6" i="1"/>
  <c r="E39" i="1"/>
  <c r="E38" i="1"/>
  <c r="E37" i="1"/>
  <c r="E36" i="1"/>
  <c r="E35" i="1"/>
  <c r="E34" i="1"/>
  <c r="E19" i="1"/>
  <c r="E18" i="1"/>
  <c r="E17" i="1"/>
  <c r="E16" i="1"/>
  <c r="E15" i="1"/>
  <c r="E14" i="1"/>
  <c r="E27" i="1"/>
  <c r="E28" i="1"/>
  <c r="E29" i="1"/>
  <c r="E26" i="1"/>
  <c r="E25" i="1"/>
  <c r="E24" i="1"/>
  <c r="B10" i="2"/>
  <c r="C9" i="2"/>
  <c r="D9" i="2" s="1"/>
  <c r="E9" i="2" s="1"/>
  <c r="E10" i="2" s="1"/>
  <c r="W38" i="1"/>
  <c r="W39" i="1"/>
  <c r="U36" i="1"/>
  <c r="U39" i="1"/>
  <c r="V39" i="1" s="1"/>
  <c r="U38" i="1"/>
  <c r="V38" i="1" s="1"/>
  <c r="D18" i="2" l="1"/>
  <c r="C19" i="2"/>
  <c r="C10" i="2"/>
  <c r="D10" i="2"/>
  <c r="E18" i="2" l="1"/>
  <c r="E19" i="2" s="1"/>
  <c r="D19" i="2"/>
</calcChain>
</file>

<file path=xl/sharedStrings.xml><?xml version="1.0" encoding="utf-8"?>
<sst xmlns="http://schemas.openxmlformats.org/spreadsheetml/2006/main" count="1009" uniqueCount="157">
  <si>
    <t>Data for Targets</t>
  </si>
  <si>
    <t>Count of Customer Name</t>
  </si>
  <si>
    <t>Column Labels</t>
  </si>
  <si>
    <t>Row Labels</t>
  </si>
  <si>
    <t>Grand Total</t>
  </si>
  <si>
    <t>No of JOBCARDS - Mechanical</t>
  </si>
  <si>
    <t>ASHISH</t>
  </si>
  <si>
    <t>DEEPAK SRIVASTAVA</t>
  </si>
  <si>
    <t>Mechanical Labour generated - ADVISOR</t>
  </si>
  <si>
    <t>No of JOBCARDS - Advisor</t>
  </si>
  <si>
    <t>Labour generated - ADVISOR - Mechanical + Electrical + Laptop</t>
  </si>
  <si>
    <t>Incentive for 2026-27</t>
  </si>
  <si>
    <t>- 10% of (Total Labour generated (without GST) - (Salary + OT))</t>
  </si>
  <si>
    <t>Mechanic / Electrician Incentive</t>
  </si>
  <si>
    <t>Quarterly Labour</t>
  </si>
  <si>
    <t>T1</t>
  </si>
  <si>
    <t>T2</t>
  </si>
  <si>
    <t>T3</t>
  </si>
  <si>
    <t>T4</t>
  </si>
  <si>
    <t xml:space="preserve">Floor Advisors - Labour includes - Mechanical + Electrical + Laptop </t>
  </si>
  <si>
    <t>Varanasi workshop</t>
  </si>
  <si>
    <t>CRE - Srishti -Target -  includes vehicle reporting to Varanasi Workshop - accidental vehicles not included</t>
  </si>
  <si>
    <t>Avg Monthly Labour</t>
  </si>
  <si>
    <t>Ghazipur workshop</t>
  </si>
  <si>
    <t>Quarter Average</t>
  </si>
  <si>
    <t>Quarterly Incentive</t>
  </si>
  <si>
    <t>Vikas Srivastava</t>
  </si>
  <si>
    <t>Spare Parts</t>
  </si>
  <si>
    <t>Communication with customer whtsapp Group</t>
  </si>
  <si>
    <t>Excellent</t>
  </si>
  <si>
    <t>Good</t>
  </si>
  <si>
    <t>Poor</t>
  </si>
  <si>
    <t>Very Bad</t>
  </si>
  <si>
    <t>Cleanliness - Upkeep on Floor</t>
  </si>
  <si>
    <t>SCORE</t>
  </si>
  <si>
    <t>Customer Feedback</t>
  </si>
  <si>
    <t>Pass</t>
  </si>
  <si>
    <t>Team - Technician Uniform and Discipline</t>
  </si>
  <si>
    <t>Monthly Average Points</t>
  </si>
  <si>
    <t>Actual Incentive</t>
  </si>
  <si>
    <t>Final Score</t>
  </si>
  <si>
    <t>Example</t>
  </si>
  <si>
    <t>Timeley follow up for Lost customers</t>
  </si>
  <si>
    <t>Responsiveness on Breakdown Vehicles reported</t>
  </si>
  <si>
    <t>Timely follow up for Scheduled Service</t>
  </si>
  <si>
    <t>Avg Monthly Vehicle Reporting</t>
  </si>
  <si>
    <t>Achivement is T3 ie. 9,000 and Assessment Score is 5 then final incentive will be 120% = Rs.10,800</t>
  </si>
  <si>
    <t>CRE - Dipti -  Target -  includes vehicle reporting to Varanasi Workshop - accidental vehicles not included</t>
  </si>
  <si>
    <t>Customer Complaint reporting and resolution</t>
  </si>
  <si>
    <t>Remote Service Camp</t>
  </si>
  <si>
    <t>Planning and execution of camps</t>
  </si>
  <si>
    <t>Total Quarterly Reporting</t>
  </si>
  <si>
    <t>Total Quarterly Incentive</t>
  </si>
  <si>
    <t>Regular follow up with FML to execute pending orders</t>
  </si>
  <si>
    <t>85% Parts to be sourced from FML</t>
  </si>
  <si>
    <t>Completion of Day book with accuracy on time</t>
  </si>
  <si>
    <t>Achivement is T3 ie. 9,000 and Assessment Score is 5 then final incentive will be 120% = Rs.10800</t>
  </si>
  <si>
    <t>VOR orders are only for non moving items</t>
  </si>
  <si>
    <t>PARTS SOLD (without GST) per month</t>
  </si>
  <si>
    <t>Quarterly Spare Sale Target (without GST)</t>
  </si>
  <si>
    <t>- Above Spare sales Target includes sales from Gazipur and accidental also.                                                    - This incentive will be paid to each member of the Spare Parts team - ie. Gyanendra, Vikas Srivastava, Akhilesh, Aditya and Sundar</t>
  </si>
  <si>
    <t>Month</t>
  </si>
  <si>
    <t>Year</t>
  </si>
  <si>
    <t>Mechanic Name</t>
  </si>
  <si>
    <t>Tech Name</t>
  </si>
  <si>
    <t>ABHISHEK</t>
  </si>
  <si>
    <t>AKASH</t>
  </si>
  <si>
    <t>ANISH</t>
  </si>
  <si>
    <t>ASLAM</t>
  </si>
  <si>
    <t>BEERU</t>
  </si>
  <si>
    <t>CHANDU</t>
  </si>
  <si>
    <t>DURGA</t>
  </si>
  <si>
    <t>HAIDER</t>
  </si>
  <si>
    <t>IQRAM</t>
  </si>
  <si>
    <t>JAGDISH</t>
  </si>
  <si>
    <t>KALLU</t>
  </si>
  <si>
    <t>KAMLESH</t>
  </si>
  <si>
    <t>KARAN</t>
  </si>
  <si>
    <t>MUKESH</t>
  </si>
  <si>
    <t>PRAMOD</t>
  </si>
  <si>
    <t>PRAVEEN</t>
  </si>
  <si>
    <t>RAHUL</t>
  </si>
  <si>
    <t>RAJESH</t>
  </si>
  <si>
    <t>RAJKUMAR</t>
  </si>
  <si>
    <t>RANJEET</t>
  </si>
  <si>
    <t>RAVI</t>
  </si>
  <si>
    <t>SANDEEP</t>
  </si>
  <si>
    <t>SANJAY</t>
  </si>
  <si>
    <t>SONU</t>
  </si>
  <si>
    <t>SURAJ</t>
  </si>
  <si>
    <t>VIKASH</t>
  </si>
  <si>
    <t>VISHWAJEET</t>
  </si>
  <si>
    <t>YOGENDRA</t>
  </si>
  <si>
    <t>ASHU</t>
  </si>
  <si>
    <t>Week No</t>
  </si>
  <si>
    <t>Punctuality - Time par aana</t>
  </si>
  <si>
    <t>Technical Knowledge</t>
  </si>
  <si>
    <t>Uniform</t>
  </si>
  <si>
    <t>Bay Cleanliness</t>
  </si>
  <si>
    <t>Repeat job nahin aana</t>
  </si>
  <si>
    <t>No of Camps per month</t>
  </si>
  <si>
    <t>No of Camps in a quarter</t>
  </si>
  <si>
    <t>One camp each in Chandauli, Bihar, Varanasi. Additional camps as required in Bhadohi and Sonebhadra</t>
  </si>
  <si>
    <t>MECHANIC NAME</t>
  </si>
  <si>
    <t>Month &amp; Year</t>
  </si>
  <si>
    <t>WEEK 1</t>
  </si>
  <si>
    <t>TOTAL</t>
  </si>
  <si>
    <t>Week 1 Final Score</t>
  </si>
  <si>
    <t>Kaam Sekhne ki koshish</t>
  </si>
  <si>
    <t>WEEK 2</t>
  </si>
  <si>
    <t>WEEK 3</t>
  </si>
  <si>
    <t>WEEK 4</t>
  </si>
  <si>
    <t>TOTAL SCORE for Month</t>
  </si>
  <si>
    <t>Week 4 Final Score</t>
  </si>
  <si>
    <t>Week 3 Final Score</t>
  </si>
  <si>
    <t>Week 2 Final Score</t>
  </si>
  <si>
    <t>Mechanic Weekly Assement Sheet</t>
  </si>
  <si>
    <t>Name:</t>
  </si>
  <si>
    <t>Signature</t>
  </si>
  <si>
    <t>Gyanendra</t>
  </si>
  <si>
    <t>Purchase entry in tally within 3 days of receiving</t>
  </si>
  <si>
    <t>Accurate Billing to Customer</t>
  </si>
  <si>
    <t>Behaviour with customer / coworkers</t>
  </si>
  <si>
    <t>Sundar and Aditya</t>
  </si>
  <si>
    <t>Akhilesh</t>
  </si>
  <si>
    <t>Timely keep material in racks</t>
  </si>
  <si>
    <t>Making sure issued material is  also billed on jobcard</t>
  </si>
  <si>
    <t>Timely ordering of local purchase items</t>
  </si>
  <si>
    <t>Smooth Coordination with Front Team</t>
  </si>
  <si>
    <t>Taking care of Gazipur and Camp spare requirements</t>
  </si>
  <si>
    <t>Punctuality -  time par aana</t>
  </si>
  <si>
    <t>Jimmedaari Dikhana - floor ke spare requirement</t>
  </si>
  <si>
    <t>Liquidation on non moving items</t>
  </si>
  <si>
    <t>Average for month</t>
  </si>
  <si>
    <t>2nd weak</t>
  </si>
  <si>
    <t>3rd weak</t>
  </si>
  <si>
    <t>4th weak</t>
  </si>
  <si>
    <t>Sundar Gupta (1st weak)</t>
  </si>
  <si>
    <t>Aditya (1st weak)</t>
  </si>
  <si>
    <t>KRA</t>
  </si>
  <si>
    <t>Vikas Srivastava (1st weak)</t>
  </si>
  <si>
    <t>Akhilesh (1st weak)</t>
  </si>
  <si>
    <t>Gyanendra (1st weak)</t>
  </si>
  <si>
    <t>Mr. Kushal (1st weak)</t>
  </si>
  <si>
    <t>Mr. Ashish Varma (1st weak)</t>
  </si>
  <si>
    <t>JUNE</t>
  </si>
  <si>
    <t>Week 1</t>
  </si>
  <si>
    <t xml:space="preserve">JUNE </t>
  </si>
  <si>
    <t>Week 2</t>
  </si>
  <si>
    <t xml:space="preserve">ANKIT </t>
  </si>
  <si>
    <t xml:space="preserve">GAJANAND </t>
  </si>
  <si>
    <t xml:space="preserve">PAWAN </t>
  </si>
  <si>
    <t xml:space="preserve">DINESH </t>
  </si>
  <si>
    <t>ABHISHEK ELECTRICIAN</t>
  </si>
  <si>
    <t>Week 3</t>
  </si>
  <si>
    <t>Week 4</t>
  </si>
  <si>
    <t xml:space="preserve">DHEERAJ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</si>
</sst>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_ ;_ @_ 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theme="5" tint="-0.49998474074526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5" tint="0.59999389629810485"/>
      </patternFill>
    </fill>
    <fill>
      <patternFill patternType="solid">
        <fgColor theme="4" tint="0.39997558519241921"/>
        <bgColor theme="5" tint="0.5999938962981048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4" fillId="2" borderId="0" xfId="0" applyFont="1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2" borderId="0" xfId="0" applyFill="1"/>
    <xf numFmtId="0" fontId="5" fillId="5" borderId="0" xfId="0" applyFont="1" applyFill="1"/>
    <xf numFmtId="0" fontId="0" fillId="5" borderId="0" xfId="0" applyFill="1"/>
    <xf numFmtId="0" fontId="3" fillId="6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indent="1"/>
    </xf>
    <xf numFmtId="164" fontId="0" fillId="4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164" fontId="0" fillId="4" borderId="2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0" borderId="0" xfId="0" applyNumberFormat="1"/>
    <xf numFmtId="9" fontId="0" fillId="0" borderId="0" xfId="2" applyFont="1"/>
    <xf numFmtId="165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5" fillId="8" borderId="0" xfId="0" applyFont="1" applyFill="1"/>
    <xf numFmtId="0" fontId="3" fillId="9" borderId="1" xfId="0" applyFont="1" applyFill="1" applyBorder="1" applyAlignment="1">
      <alignment horizontal="center" vertical="center" wrapText="1"/>
    </xf>
    <xf numFmtId="164" fontId="3" fillId="9" borderId="1" xfId="1" applyNumberFormat="1" applyFont="1" applyFill="1" applyBorder="1" applyAlignment="1">
      <alignment horizontal="center" vertical="center" wrapText="1"/>
    </xf>
    <xf numFmtId="164" fontId="0" fillId="10" borderId="1" xfId="1" applyNumberFormat="1" applyFont="1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1" fontId="0" fillId="10" borderId="1" xfId="1" applyNumberFormat="1" applyFont="1" applyFill="1" applyBorder="1" applyAlignment="1">
      <alignment horizontal="center" vertical="center"/>
    </xf>
    <xf numFmtId="1" fontId="0" fillId="9" borderId="1" xfId="1" applyNumberFormat="1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5" borderId="0" xfId="0" applyFont="1" applyFill="1"/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3" fontId="6" fillId="0" borderId="0" xfId="0" applyNumberFormat="1" applyFont="1"/>
    <xf numFmtId="0" fontId="7" fillId="5" borderId="0" xfId="0" applyFont="1" applyFill="1" applyAlignment="1">
      <alignment wrapText="1"/>
    </xf>
    <xf numFmtId="0" fontId="7" fillId="1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49" fontId="7" fillId="0" borderId="0" xfId="0" applyNumberFormat="1" applyFont="1"/>
    <xf numFmtId="0" fontId="7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164" fontId="7" fillId="0" borderId="1" xfId="1" applyNumberFormat="1" applyFont="1" applyFill="1" applyBorder="1" applyAlignment="1">
      <alignment horizontal="center" vertical="center"/>
    </xf>
    <xf numFmtId="164" fontId="7" fillId="7" borderId="1" xfId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12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7" fillId="0" borderId="1" xfId="0" applyFont="1" applyBorder="1" applyAlignment="1">
      <alignment horizontal="left" vertical="center"/>
    </xf>
    <xf numFmtId="0" fontId="0" fillId="0" borderId="1" xfId="0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7" borderId="1" xfId="0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6" fontId="0" fillId="2" borderId="0" xfId="0" applyNumberFormat="1" applyFill="1" applyAlignment="1">
      <alignment horizontal="center" vertical="center"/>
    </xf>
    <xf numFmtId="0" fontId="0" fillId="13" borderId="0" xfId="0" applyFill="1" applyAlignment="1" applyProtection="1">
      <alignment horizontal="center" vertical="center"/>
      <protection locked="0"/>
    </xf>
    <xf numFmtId="166" fontId="0" fillId="8" borderId="0" xfId="0" applyNumberFormat="1" applyFill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11" borderId="3" xfId="0" applyFont="1" applyFill="1" applyBorder="1" applyAlignment="1">
      <alignment horizontal="center"/>
    </xf>
    <xf numFmtId="0" fontId="7" fillId="0" borderId="3" xfId="0" applyFont="1" applyBorder="1"/>
    <xf numFmtId="0" fontId="7" fillId="0" borderId="7" xfId="0" applyFont="1" applyBorder="1"/>
    <xf numFmtId="0" fontId="7" fillId="11" borderId="8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7" xfId="0" applyFont="1" applyBorder="1"/>
    <xf numFmtId="0" fontId="7" fillId="11" borderId="1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/>
    </xf>
    <xf numFmtId="0" fontId="7" fillId="12" borderId="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12" borderId="9" xfId="0" applyFont="1" applyFill="1" applyBorder="1" applyAlignment="1">
      <alignment horizontal="center"/>
    </xf>
    <xf numFmtId="0" fontId="6" fillId="0" borderId="11" xfId="0" applyFont="1" applyBorder="1" applyAlignment="1">
      <alignment wrapText="1"/>
    </xf>
    <xf numFmtId="0" fontId="7" fillId="11" borderId="12" xfId="0" applyFont="1" applyFill="1" applyBorder="1" applyAlignment="1">
      <alignment horizontal="center" vertical="center"/>
    </xf>
    <xf numFmtId="0" fontId="0" fillId="0" borderId="13" xfId="0" applyBorder="1"/>
    <xf numFmtId="0" fontId="6" fillId="0" borderId="13" xfId="0" applyFont="1" applyBorder="1" applyAlignment="1">
      <alignment wrapText="1"/>
    </xf>
    <xf numFmtId="0" fontId="7" fillId="11" borderId="14" xfId="0" applyFont="1" applyFill="1" applyBorder="1" applyAlignment="1">
      <alignment horizontal="center" vertical="center"/>
    </xf>
    <xf numFmtId="17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14" borderId="0" xfId="0" applyFill="1" applyAlignment="1" applyProtection="1">
      <alignment horizontal="center" vertical="center"/>
      <protection locked="0"/>
    </xf>
    <xf numFmtId="0" fontId="0" fillId="15" borderId="0" xfId="0" applyFill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4">
    <dxf>
      <numFmt numFmtId="166" formatCode="0.0"/>
      <fill>
        <patternFill>
          <fgColor indexed="64"/>
          <bgColor rgb="FFFFFF00"/>
        </patternFill>
      </fill>
      <alignment horizontal="center" vertical="center" textRotation="0" indent="0" justifyLastLine="0" shrinkToFit="0" readingOrder="0"/>
      <protection locked="1" hidden="0"/>
    </dxf>
    <dxf>
      <numFmt numFmtId="166" formatCode="0.0"/>
      <fill>
        <patternFill patternType="solid">
          <fgColor indexed="64"/>
          <bgColor theme="4" tint="0.59999389629810485"/>
        </patternFill>
      </fill>
      <alignment horizontal="center" vertical="center" textRotation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fill>
        <patternFill patternType="solid">
          <fgColor indexed="64"/>
          <bgColor theme="0" tint="-0.249977111117893"/>
        </patternFill>
      </fill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fill>
        <patternFill patternType="solid">
          <fgColor indexed="64"/>
          <bgColor rgb="FFFFFF00"/>
        </patternFill>
      </fill>
      <alignment horizontal="center" vertical="center" textRotation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E4FFA0-F08C-4D3A-928C-40B4FF3C7602}" name="Table1" displayName="Table1" ref="A1:L2000" totalsRowShown="0" headerRowDxfId="13" dataDxfId="12">
  <autoFilter ref="A1:L2000" xr:uid="{E2E4FFA0-F08C-4D3A-928C-40B4FF3C7602}">
    <filterColumn colId="2">
      <filters>
        <filter val="Week 4"/>
      </filters>
    </filterColumn>
  </autoFilter>
  <tableColumns count="12">
    <tableColumn id="1" xr3:uid="{796AE2EF-92F8-4E1D-BA2F-B8AE82063D22}" name="Month" dataDxfId="11"/>
    <tableColumn id="2" xr3:uid="{16755041-B5F3-427B-A4A8-2D51283EC9D8}" name="Year" dataDxfId="10"/>
    <tableColumn id="3" xr3:uid="{A95402E6-D110-49F9-A6B7-512287899485}" name="Week No" dataDxfId="9"/>
    <tableColumn id="4" xr3:uid="{ED9FD9C9-B6EE-4E70-B911-5D4983542430}" name="Mechanic Name" dataDxfId="8"/>
    <tableColumn id="5" xr3:uid="{02DA0BBC-DE3B-4F10-B505-E76D06782BFF}" name="Technical Knowledge" dataDxfId="7"/>
    <tableColumn id="6" xr3:uid="{7920D2B4-3126-4971-86DC-522375C0A34E}" name="Kaam Sekhne ki koshish" dataDxfId="6"/>
    <tableColumn id="7" xr3:uid="{C6ED4CA2-A031-4D76-8EE9-58D08E2B6DE9}" name="Bay Cleanliness" dataDxfId="5"/>
    <tableColumn id="8" xr3:uid="{A8702C68-F165-4F8E-8185-C08E2877E80E}" name="Uniform" dataDxfId="4"/>
    <tableColumn id="9" xr3:uid="{48369DA7-DBAE-4E48-869D-CC5B9165DAC8}" name="Punctuality - Time par aana" dataDxfId="3"/>
    <tableColumn id="10" xr3:uid="{F35C94DB-3A24-4025-B033-BEC6C585F49E}" name="Repeat job nahin aana" dataDxfId="2"/>
    <tableColumn id="11" xr3:uid="{20E2AC44-8EFD-494D-A3F6-01E95667690E}" name="Final Score" dataDxfId="1">
      <calculatedColumnFormula>SUM(Table1[[#This Row],[Technical Knowledge]:[Repeat job nahin aana]])/6</calculatedColumnFormula>
    </tableColumn>
    <tableColumn id="12" xr3:uid="{0B75D78C-795E-4DA3-BF9F-368B1880BF0A}" name="Average for month" dataDxfId="0">
      <calculatedColumnFormula>IFERROR(AVERAGEIFS(Table1[Final Score],Table1[Month],Table1[[#This Row],[Month]],Table1[Year],Table1[[#This Row],[Year]],Table1[Mechanic Name],Table1[[#This Row],[Mechanic Name]]),"")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7781-3A33-4201-BEE7-88A619BE8AEA}">
  <sheetPr>
    <tabColor rgb="FFFFFF00"/>
  </sheetPr>
  <dimension ref="A1:W39"/>
  <sheetViews>
    <sheetView topLeftCell="A25" workbookViewId="0">
      <selection activeCell="B56" sqref="B56"/>
    </sheetView>
  </sheetViews>
  <sheetFormatPr defaultRowHeight="14.5" x14ac:dyDescent="0.35"/>
  <cols>
    <col min="1" max="1" width="24.1796875" customWidth="1"/>
    <col min="4" max="4" width="11.54296875" customWidth="1"/>
    <col min="5" max="5" width="12.1796875" bestFit="1" customWidth="1"/>
    <col min="9" max="9" width="12.81640625" customWidth="1"/>
    <col min="14" max="14" width="13.54296875" customWidth="1"/>
    <col min="18" max="18" width="10.7265625" bestFit="1" customWidth="1"/>
    <col min="20" max="20" width="10.1796875" bestFit="1" customWidth="1"/>
    <col min="23" max="23" width="10.1796875" bestFit="1" customWidth="1"/>
  </cols>
  <sheetData>
    <row r="1" spans="1:18" ht="18.5" x14ac:dyDescent="0.45">
      <c r="A1" s="9" t="s">
        <v>0</v>
      </c>
      <c r="B1" s="10"/>
    </row>
    <row r="3" spans="1:18" ht="21" x14ac:dyDescent="0.5">
      <c r="A3" s="1" t="s">
        <v>5</v>
      </c>
      <c r="B3" s="8"/>
      <c r="C3" s="8"/>
      <c r="D3" s="8"/>
    </row>
    <row r="5" spans="1:18" ht="29" x14ac:dyDescent="0.35">
      <c r="A5" s="4" t="s">
        <v>3</v>
      </c>
      <c r="B5" s="5">
        <v>1</v>
      </c>
      <c r="C5" s="5">
        <v>2</v>
      </c>
      <c r="D5" s="5">
        <v>3</v>
      </c>
      <c r="E5" s="32" t="s">
        <v>24</v>
      </c>
      <c r="F5" s="5">
        <v>4</v>
      </c>
      <c r="G5" s="5">
        <v>5</v>
      </c>
      <c r="H5" s="5">
        <v>6</v>
      </c>
      <c r="I5" s="32" t="s">
        <v>24</v>
      </c>
      <c r="J5" s="5">
        <v>7</v>
      </c>
      <c r="K5" s="5">
        <v>8</v>
      </c>
      <c r="L5" s="5">
        <v>9</v>
      </c>
      <c r="M5" s="32" t="s">
        <v>24</v>
      </c>
      <c r="N5" s="5">
        <v>10</v>
      </c>
      <c r="O5" s="5">
        <v>11</v>
      </c>
      <c r="P5" s="5">
        <v>12</v>
      </c>
      <c r="Q5" s="32" t="s">
        <v>24</v>
      </c>
      <c r="R5" s="5" t="s">
        <v>4</v>
      </c>
    </row>
    <row r="6" spans="1:18" x14ac:dyDescent="0.35">
      <c r="A6" s="6">
        <v>2024</v>
      </c>
      <c r="B6" s="7">
        <v>290</v>
      </c>
      <c r="C6" s="7">
        <v>304</v>
      </c>
      <c r="D6" s="7">
        <v>349</v>
      </c>
      <c r="E6" s="38">
        <f>SUM(B6:D6)/3</f>
        <v>314.33333333333331</v>
      </c>
      <c r="F6" s="7">
        <v>326</v>
      </c>
      <c r="G6" s="7">
        <v>395</v>
      </c>
      <c r="H6" s="7">
        <v>359</v>
      </c>
      <c r="I6" s="38">
        <f>SUM(F6:H6)/3</f>
        <v>360</v>
      </c>
      <c r="J6" s="7">
        <v>399</v>
      </c>
      <c r="K6" s="7">
        <v>384</v>
      </c>
      <c r="L6" s="7">
        <v>342</v>
      </c>
      <c r="M6" s="38">
        <f>SUM(J6:L6)/3</f>
        <v>375</v>
      </c>
      <c r="N6" s="7">
        <v>378</v>
      </c>
      <c r="O6" s="7">
        <v>324</v>
      </c>
      <c r="P6" s="7">
        <v>438</v>
      </c>
      <c r="Q6" s="38">
        <f>SUM(N6:P6)/3</f>
        <v>380</v>
      </c>
      <c r="R6" s="7">
        <v>4288</v>
      </c>
    </row>
    <row r="7" spans="1:18" x14ac:dyDescent="0.35">
      <c r="A7" s="6">
        <v>2025</v>
      </c>
      <c r="B7" s="7">
        <v>416</v>
      </c>
      <c r="C7" s="7">
        <v>453</v>
      </c>
      <c r="D7" s="7">
        <v>426</v>
      </c>
      <c r="E7" s="38">
        <f t="shared" ref="E7:E8" si="0">SUM(B7:D7)/3</f>
        <v>431.66666666666669</v>
      </c>
      <c r="F7" s="7">
        <v>409</v>
      </c>
      <c r="G7" s="7">
        <v>411</v>
      </c>
      <c r="H7" s="7">
        <v>569</v>
      </c>
      <c r="I7" s="38">
        <f t="shared" ref="I7:I8" si="1">SUM(F7:H7)/3</f>
        <v>463</v>
      </c>
      <c r="J7" s="7">
        <v>508</v>
      </c>
      <c r="K7" s="7">
        <v>524</v>
      </c>
      <c r="L7" s="7">
        <v>35</v>
      </c>
      <c r="M7" s="38">
        <f t="shared" ref="M7:M8" si="2">SUM(J7:L7)/3</f>
        <v>355.66666666666669</v>
      </c>
      <c r="N7" s="7">
        <v>265</v>
      </c>
      <c r="O7" s="7">
        <v>441</v>
      </c>
      <c r="P7" s="7">
        <v>511</v>
      </c>
      <c r="Q7" s="38">
        <f t="shared" ref="Q7:Q8" si="3">SUM(N7:P7)/3</f>
        <v>405.66666666666669</v>
      </c>
      <c r="R7" s="7">
        <v>4968</v>
      </c>
    </row>
    <row r="8" spans="1:18" x14ac:dyDescent="0.35">
      <c r="A8" s="6">
        <v>2026</v>
      </c>
      <c r="B8" s="7">
        <v>369</v>
      </c>
      <c r="C8" s="7">
        <v>409</v>
      </c>
      <c r="D8" s="7">
        <v>566</v>
      </c>
      <c r="E8" s="38">
        <f t="shared" si="0"/>
        <v>448</v>
      </c>
      <c r="F8" s="7">
        <v>335</v>
      </c>
      <c r="G8" s="7">
        <v>222</v>
      </c>
      <c r="H8" s="7"/>
      <c r="I8" s="38">
        <f t="shared" si="1"/>
        <v>185.66666666666666</v>
      </c>
      <c r="J8" s="7"/>
      <c r="K8" s="7"/>
      <c r="L8" s="7"/>
      <c r="M8" s="38">
        <f t="shared" si="2"/>
        <v>0</v>
      </c>
      <c r="N8" s="7"/>
      <c r="O8" s="7"/>
      <c r="P8" s="7"/>
      <c r="Q8" s="38">
        <f t="shared" si="3"/>
        <v>0</v>
      </c>
      <c r="R8" s="7">
        <v>1901</v>
      </c>
    </row>
    <row r="9" spans="1:18" x14ac:dyDescent="0.35">
      <c r="A9" s="2"/>
      <c r="B9" s="3"/>
      <c r="C9" s="3"/>
      <c r="D9" s="3"/>
      <c r="E9" s="3"/>
      <c r="F9" s="3"/>
      <c r="G9" s="3"/>
      <c r="H9" s="3"/>
      <c r="I9" s="3"/>
      <c r="M9" s="3"/>
      <c r="Q9" s="3"/>
    </row>
    <row r="11" spans="1:18" ht="21" x14ac:dyDescent="0.5">
      <c r="A11" s="1" t="s">
        <v>9</v>
      </c>
      <c r="B11" s="8"/>
      <c r="C11" s="8"/>
      <c r="D11" s="8"/>
      <c r="E11" s="8"/>
      <c r="I11" s="8"/>
      <c r="M11" s="8"/>
      <c r="Q11" s="8"/>
    </row>
    <row r="12" spans="1:18" x14ac:dyDescent="0.35">
      <c r="A12" s="4" t="s">
        <v>1</v>
      </c>
      <c r="B12" s="5" t="s">
        <v>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29" x14ac:dyDescent="0.35">
      <c r="A13" s="5" t="s">
        <v>3</v>
      </c>
      <c r="B13" s="5">
        <v>1</v>
      </c>
      <c r="C13" s="5">
        <v>2</v>
      </c>
      <c r="D13" s="5">
        <v>3</v>
      </c>
      <c r="E13" s="32" t="s">
        <v>24</v>
      </c>
      <c r="F13" s="5">
        <v>4</v>
      </c>
      <c r="G13" s="5">
        <v>5</v>
      </c>
      <c r="H13" s="5">
        <v>6</v>
      </c>
      <c r="I13" s="32" t="s">
        <v>24</v>
      </c>
      <c r="J13" s="5">
        <v>7</v>
      </c>
      <c r="K13" s="5">
        <v>8</v>
      </c>
      <c r="L13" s="5">
        <v>9</v>
      </c>
      <c r="M13" s="32" t="s">
        <v>24</v>
      </c>
      <c r="N13" s="5">
        <v>10</v>
      </c>
      <c r="O13" s="5">
        <v>11</v>
      </c>
      <c r="P13" s="5">
        <v>12</v>
      </c>
      <c r="Q13" s="32" t="s">
        <v>24</v>
      </c>
      <c r="R13" s="5" t="s">
        <v>4</v>
      </c>
    </row>
    <row r="14" spans="1:18" x14ac:dyDescent="0.35">
      <c r="A14" s="16">
        <v>2025</v>
      </c>
      <c r="B14" s="16">
        <v>408</v>
      </c>
      <c r="C14" s="16">
        <v>436</v>
      </c>
      <c r="D14" s="16">
        <v>423</v>
      </c>
      <c r="E14" s="36">
        <f t="shared" ref="E14:E19" si="4">SUM(B14:D14)/3</f>
        <v>422.33333333333331</v>
      </c>
      <c r="F14" s="16">
        <v>403</v>
      </c>
      <c r="G14" s="16">
        <v>383</v>
      </c>
      <c r="H14" s="16">
        <v>350</v>
      </c>
      <c r="I14" s="36">
        <f t="shared" ref="I14:I19" si="5">SUM(F14:H14)/3</f>
        <v>378.66666666666669</v>
      </c>
      <c r="J14" s="16">
        <v>407</v>
      </c>
      <c r="K14" s="16">
        <v>441</v>
      </c>
      <c r="L14" s="16">
        <v>34</v>
      </c>
      <c r="M14" s="36">
        <f t="shared" ref="M14:M19" si="6">SUM(J14:L14)/3</f>
        <v>294</v>
      </c>
      <c r="N14" s="16">
        <v>225</v>
      </c>
      <c r="O14" s="16">
        <v>394</v>
      </c>
      <c r="P14" s="16">
        <v>285</v>
      </c>
      <c r="Q14" s="36">
        <f t="shared" ref="Q14:Q19" si="7">SUM(N14:P14)/3</f>
        <v>301.33333333333331</v>
      </c>
      <c r="R14" s="16">
        <v>4189</v>
      </c>
    </row>
    <row r="15" spans="1:18" x14ac:dyDescent="0.35">
      <c r="A15" s="7" t="s">
        <v>6</v>
      </c>
      <c r="B15" s="7">
        <v>94</v>
      </c>
      <c r="C15" s="7">
        <v>167</v>
      </c>
      <c r="D15" s="7">
        <v>198</v>
      </c>
      <c r="E15" s="37">
        <f t="shared" si="4"/>
        <v>153</v>
      </c>
      <c r="F15" s="7">
        <v>167</v>
      </c>
      <c r="G15" s="7">
        <v>159</v>
      </c>
      <c r="H15" s="7">
        <v>112</v>
      </c>
      <c r="I15" s="37">
        <f t="shared" si="5"/>
        <v>146</v>
      </c>
      <c r="J15" s="7">
        <v>207</v>
      </c>
      <c r="K15" s="7">
        <v>212</v>
      </c>
      <c r="L15" s="7">
        <v>20</v>
      </c>
      <c r="M15" s="37">
        <f t="shared" si="6"/>
        <v>146.33333333333334</v>
      </c>
      <c r="N15" s="7">
        <v>113</v>
      </c>
      <c r="O15" s="7">
        <v>149</v>
      </c>
      <c r="P15" s="7">
        <v>150</v>
      </c>
      <c r="Q15" s="37">
        <f t="shared" si="7"/>
        <v>137.33333333333334</v>
      </c>
      <c r="R15" s="7">
        <v>1748</v>
      </c>
    </row>
    <row r="16" spans="1:18" x14ac:dyDescent="0.35">
      <c r="A16" s="7" t="s">
        <v>7</v>
      </c>
      <c r="B16" s="7">
        <v>314</v>
      </c>
      <c r="C16" s="7">
        <v>269</v>
      </c>
      <c r="D16" s="7">
        <v>225</v>
      </c>
      <c r="E16" s="37">
        <f t="shared" si="4"/>
        <v>269.33333333333331</v>
      </c>
      <c r="F16" s="7">
        <v>236</v>
      </c>
      <c r="G16" s="7">
        <v>224</v>
      </c>
      <c r="H16" s="7">
        <v>238</v>
      </c>
      <c r="I16" s="37">
        <f t="shared" si="5"/>
        <v>232.66666666666666</v>
      </c>
      <c r="J16" s="7">
        <v>200</v>
      </c>
      <c r="K16" s="7">
        <v>229</v>
      </c>
      <c r="L16" s="7">
        <v>14</v>
      </c>
      <c r="M16" s="37">
        <f t="shared" si="6"/>
        <v>147.66666666666666</v>
      </c>
      <c r="N16" s="7">
        <v>112</v>
      </c>
      <c r="O16" s="7">
        <v>245</v>
      </c>
      <c r="P16" s="7">
        <v>135</v>
      </c>
      <c r="Q16" s="37">
        <f t="shared" si="7"/>
        <v>164</v>
      </c>
      <c r="R16" s="7">
        <v>2441</v>
      </c>
    </row>
    <row r="17" spans="1:18" x14ac:dyDescent="0.35">
      <c r="A17" s="16">
        <v>2026</v>
      </c>
      <c r="B17" s="16">
        <v>320</v>
      </c>
      <c r="C17" s="16">
        <v>399</v>
      </c>
      <c r="D17" s="16">
        <v>534</v>
      </c>
      <c r="E17" s="36">
        <f t="shared" si="4"/>
        <v>417.66666666666669</v>
      </c>
      <c r="F17" s="16">
        <v>319</v>
      </c>
      <c r="G17" s="16">
        <v>214</v>
      </c>
      <c r="H17" s="16"/>
      <c r="I17" s="36">
        <f t="shared" si="5"/>
        <v>177.66666666666666</v>
      </c>
      <c r="J17" s="16"/>
      <c r="K17" s="16"/>
      <c r="L17" s="16"/>
      <c r="M17" s="36">
        <f t="shared" si="6"/>
        <v>0</v>
      </c>
      <c r="N17" s="16"/>
      <c r="O17" s="16"/>
      <c r="P17" s="16"/>
      <c r="Q17" s="36">
        <f t="shared" si="7"/>
        <v>0</v>
      </c>
      <c r="R17" s="16">
        <v>1786</v>
      </c>
    </row>
    <row r="18" spans="1:18" x14ac:dyDescent="0.35">
      <c r="A18" s="7" t="s">
        <v>6</v>
      </c>
      <c r="B18" s="7">
        <v>149</v>
      </c>
      <c r="C18" s="7">
        <v>212</v>
      </c>
      <c r="D18" s="7">
        <v>261</v>
      </c>
      <c r="E18" s="37">
        <f t="shared" si="4"/>
        <v>207.33333333333334</v>
      </c>
      <c r="F18" s="7">
        <v>174</v>
      </c>
      <c r="G18" s="7">
        <v>116</v>
      </c>
      <c r="H18" s="7"/>
      <c r="I18" s="37">
        <f t="shared" si="5"/>
        <v>96.666666666666671</v>
      </c>
      <c r="J18" s="7"/>
      <c r="K18" s="7"/>
      <c r="L18" s="7"/>
      <c r="M18" s="37">
        <f t="shared" si="6"/>
        <v>0</v>
      </c>
      <c r="N18" s="7"/>
      <c r="O18" s="7"/>
      <c r="P18" s="7"/>
      <c r="Q18" s="37">
        <f t="shared" si="7"/>
        <v>0</v>
      </c>
      <c r="R18" s="7">
        <v>912</v>
      </c>
    </row>
    <row r="19" spans="1:18" x14ac:dyDescent="0.35">
      <c r="A19" s="7" t="s">
        <v>7</v>
      </c>
      <c r="B19" s="7">
        <v>171</v>
      </c>
      <c r="C19" s="7">
        <v>187</v>
      </c>
      <c r="D19" s="7">
        <v>273</v>
      </c>
      <c r="E19" s="37">
        <f t="shared" si="4"/>
        <v>210.33333333333334</v>
      </c>
      <c r="F19" s="7">
        <v>145</v>
      </c>
      <c r="G19" s="7">
        <v>98</v>
      </c>
      <c r="H19" s="7"/>
      <c r="I19" s="37">
        <f t="shared" si="5"/>
        <v>81</v>
      </c>
      <c r="J19" s="7"/>
      <c r="K19" s="7"/>
      <c r="L19" s="7"/>
      <c r="M19" s="37">
        <f t="shared" si="6"/>
        <v>0</v>
      </c>
      <c r="N19" s="7"/>
      <c r="O19" s="7"/>
      <c r="P19" s="7"/>
      <c r="Q19" s="37">
        <f t="shared" si="7"/>
        <v>0</v>
      </c>
      <c r="R19" s="7">
        <v>874</v>
      </c>
    </row>
    <row r="20" spans="1:18" x14ac:dyDescent="0.3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21" x14ac:dyDescent="0.5">
      <c r="A21" s="1" t="s">
        <v>8</v>
      </c>
      <c r="B21" s="15"/>
      <c r="C21" s="15"/>
      <c r="D21" s="8"/>
      <c r="E21" s="8"/>
      <c r="I21" s="8"/>
      <c r="M21" s="8"/>
      <c r="Q21" s="8"/>
    </row>
    <row r="23" spans="1:18" ht="29" x14ac:dyDescent="0.35">
      <c r="A23" s="4" t="s">
        <v>3</v>
      </c>
      <c r="B23" s="5">
        <v>1</v>
      </c>
      <c r="C23" s="5">
        <v>2</v>
      </c>
      <c r="D23" s="5">
        <v>3</v>
      </c>
      <c r="E23" s="33" t="s">
        <v>24</v>
      </c>
      <c r="F23" s="5">
        <v>4</v>
      </c>
      <c r="G23" s="5">
        <v>5</v>
      </c>
      <c r="H23" s="4">
        <v>6</v>
      </c>
      <c r="I23" s="33" t="s">
        <v>24</v>
      </c>
      <c r="J23" s="4">
        <v>7</v>
      </c>
      <c r="K23" s="4">
        <v>8</v>
      </c>
      <c r="L23" s="4">
        <v>9</v>
      </c>
      <c r="M23" s="33" t="s">
        <v>24</v>
      </c>
      <c r="N23" s="4">
        <v>10</v>
      </c>
      <c r="O23" s="4">
        <v>11</v>
      </c>
      <c r="P23" s="4">
        <v>12</v>
      </c>
      <c r="Q23" s="33" t="s">
        <v>24</v>
      </c>
      <c r="R23" s="5" t="s">
        <v>4</v>
      </c>
    </row>
    <row r="24" spans="1:18" x14ac:dyDescent="0.35">
      <c r="A24" s="11">
        <v>2025</v>
      </c>
      <c r="B24" s="12">
        <v>384220</v>
      </c>
      <c r="C24" s="12">
        <v>397329</v>
      </c>
      <c r="D24" s="12">
        <v>457895</v>
      </c>
      <c r="E24" s="34">
        <f t="shared" ref="E24:E29" si="8">SUM(B24:D24)/3</f>
        <v>413148</v>
      </c>
      <c r="F24" s="12">
        <v>381950</v>
      </c>
      <c r="G24" s="12">
        <v>322930</v>
      </c>
      <c r="H24" s="12">
        <v>330974</v>
      </c>
      <c r="I24" s="34">
        <f t="shared" ref="I24:I29" si="9">SUM(F24:H24)/3</f>
        <v>345284.66666666669</v>
      </c>
      <c r="J24" s="12">
        <v>302124</v>
      </c>
      <c r="K24" s="12">
        <v>280169</v>
      </c>
      <c r="L24" s="12">
        <v>31900</v>
      </c>
      <c r="M24" s="34">
        <f t="shared" ref="M24:M29" si="10">SUM(J24:L24)/3</f>
        <v>204731</v>
      </c>
      <c r="N24" s="12">
        <v>36617</v>
      </c>
      <c r="O24" s="12">
        <v>384143</v>
      </c>
      <c r="P24" s="12">
        <v>280169</v>
      </c>
      <c r="Q24" s="34">
        <f t="shared" ref="Q24:Q29" si="11">SUM(N24:P24)/3</f>
        <v>233643</v>
      </c>
      <c r="R24" s="12">
        <v>3590420</v>
      </c>
    </row>
    <row r="25" spans="1:18" x14ac:dyDescent="0.35">
      <c r="A25" s="13" t="s">
        <v>6</v>
      </c>
      <c r="B25" s="14">
        <v>97300</v>
      </c>
      <c r="C25" s="14">
        <v>134724</v>
      </c>
      <c r="D25" s="14">
        <v>232085</v>
      </c>
      <c r="E25" s="35">
        <f t="shared" si="8"/>
        <v>154703</v>
      </c>
      <c r="F25" s="14">
        <v>136600</v>
      </c>
      <c r="G25" s="14">
        <v>129025</v>
      </c>
      <c r="H25" s="14">
        <v>58108</v>
      </c>
      <c r="I25" s="35">
        <f t="shared" si="9"/>
        <v>107911</v>
      </c>
      <c r="J25" s="14">
        <v>133695</v>
      </c>
      <c r="K25" s="14">
        <v>117094</v>
      </c>
      <c r="L25" s="14">
        <v>10225</v>
      </c>
      <c r="M25" s="35">
        <f t="shared" si="10"/>
        <v>87004.666666666672</v>
      </c>
      <c r="N25" s="14">
        <v>21550</v>
      </c>
      <c r="O25" s="14">
        <v>121450</v>
      </c>
      <c r="P25" s="14">
        <v>104138</v>
      </c>
      <c r="Q25" s="35">
        <f t="shared" si="11"/>
        <v>82379.333333333328</v>
      </c>
      <c r="R25" s="14">
        <v>1295994</v>
      </c>
    </row>
    <row r="26" spans="1:18" x14ac:dyDescent="0.35">
      <c r="A26" s="13" t="s">
        <v>7</v>
      </c>
      <c r="B26" s="14">
        <v>286920</v>
      </c>
      <c r="C26" s="14">
        <v>262605</v>
      </c>
      <c r="D26" s="14">
        <v>225810</v>
      </c>
      <c r="E26" s="35">
        <f t="shared" si="8"/>
        <v>258445</v>
      </c>
      <c r="F26" s="14">
        <v>245350</v>
      </c>
      <c r="G26" s="14">
        <v>193905</v>
      </c>
      <c r="H26" s="14">
        <v>272866</v>
      </c>
      <c r="I26" s="35">
        <f t="shared" si="9"/>
        <v>237373.66666666666</v>
      </c>
      <c r="J26" s="14">
        <v>168429</v>
      </c>
      <c r="K26" s="14">
        <v>163075</v>
      </c>
      <c r="L26" s="14">
        <v>21675</v>
      </c>
      <c r="M26" s="35">
        <f t="shared" si="10"/>
        <v>117726.33333333333</v>
      </c>
      <c r="N26" s="14">
        <v>15067</v>
      </c>
      <c r="O26" s="14">
        <v>262693</v>
      </c>
      <c r="P26" s="14">
        <v>176031</v>
      </c>
      <c r="Q26" s="35">
        <f t="shared" si="11"/>
        <v>151263.66666666666</v>
      </c>
      <c r="R26" s="14">
        <v>2294426</v>
      </c>
    </row>
    <row r="27" spans="1:18" x14ac:dyDescent="0.35">
      <c r="A27" s="11">
        <v>2026</v>
      </c>
      <c r="B27" s="12">
        <v>355672</v>
      </c>
      <c r="C27" s="12">
        <v>397309</v>
      </c>
      <c r="D27" s="12">
        <v>521179</v>
      </c>
      <c r="E27" s="34">
        <f t="shared" si="8"/>
        <v>424720</v>
      </c>
      <c r="F27" s="12">
        <v>325025</v>
      </c>
      <c r="G27" s="12">
        <v>233396</v>
      </c>
      <c r="H27" s="12"/>
      <c r="I27" s="34">
        <f t="shared" si="9"/>
        <v>186140.33333333334</v>
      </c>
      <c r="J27" s="12"/>
      <c r="K27" s="12"/>
      <c r="L27" s="12"/>
      <c r="M27" s="34">
        <f t="shared" si="10"/>
        <v>0</v>
      </c>
      <c r="N27" s="12"/>
      <c r="O27" s="12"/>
      <c r="P27" s="12"/>
      <c r="Q27" s="34">
        <f t="shared" si="11"/>
        <v>0</v>
      </c>
      <c r="R27" s="12">
        <v>1832581</v>
      </c>
    </row>
    <row r="28" spans="1:18" x14ac:dyDescent="0.35">
      <c r="A28" s="13" t="s">
        <v>6</v>
      </c>
      <c r="B28" s="14">
        <v>155959</v>
      </c>
      <c r="C28" s="14">
        <v>159484</v>
      </c>
      <c r="D28" s="14">
        <v>181010</v>
      </c>
      <c r="E28" s="35">
        <f t="shared" si="8"/>
        <v>165484.33333333334</v>
      </c>
      <c r="F28" s="14">
        <v>147210</v>
      </c>
      <c r="G28" s="14">
        <v>111771</v>
      </c>
      <c r="H28" s="14"/>
      <c r="I28" s="35">
        <f t="shared" si="9"/>
        <v>86327</v>
      </c>
      <c r="J28" s="14"/>
      <c r="K28" s="14"/>
      <c r="L28" s="14"/>
      <c r="M28" s="35">
        <f t="shared" si="10"/>
        <v>0</v>
      </c>
      <c r="N28" s="14"/>
      <c r="O28" s="14"/>
      <c r="P28" s="14"/>
      <c r="Q28" s="35">
        <f t="shared" si="11"/>
        <v>0</v>
      </c>
      <c r="R28" s="14">
        <v>755434</v>
      </c>
    </row>
    <row r="29" spans="1:18" x14ac:dyDescent="0.35">
      <c r="A29" s="13" t="s">
        <v>7</v>
      </c>
      <c r="B29" s="14">
        <v>199713</v>
      </c>
      <c r="C29" s="14">
        <v>237825</v>
      </c>
      <c r="D29" s="14">
        <v>340169</v>
      </c>
      <c r="E29" s="35">
        <f t="shared" si="8"/>
        <v>259235.66666666666</v>
      </c>
      <c r="F29" s="14">
        <v>177815</v>
      </c>
      <c r="G29" s="14">
        <v>121625</v>
      </c>
      <c r="H29" s="14"/>
      <c r="I29" s="35">
        <f t="shared" si="9"/>
        <v>99813.333333333328</v>
      </c>
      <c r="J29" s="14"/>
      <c r="K29" s="14"/>
      <c r="L29" s="14"/>
      <c r="M29" s="35">
        <f t="shared" si="10"/>
        <v>0</v>
      </c>
      <c r="N29" s="14"/>
      <c r="O29" s="14"/>
      <c r="P29" s="14"/>
      <c r="Q29" s="35">
        <f t="shared" si="11"/>
        <v>0</v>
      </c>
      <c r="R29" s="14">
        <v>1077147</v>
      </c>
    </row>
    <row r="31" spans="1:18" ht="21" x14ac:dyDescent="0.5">
      <c r="A31" s="1" t="s">
        <v>10</v>
      </c>
      <c r="B31" s="15"/>
      <c r="C31" s="15"/>
      <c r="D31" s="15"/>
      <c r="E31" s="15"/>
      <c r="F31" s="15"/>
      <c r="G31" s="8"/>
      <c r="H31" s="8"/>
      <c r="I31" s="15"/>
      <c r="M31" s="15"/>
      <c r="Q31" s="15"/>
    </row>
    <row r="33" spans="1:23" ht="29" x14ac:dyDescent="0.35">
      <c r="A33" s="4" t="s">
        <v>3</v>
      </c>
      <c r="B33" s="5">
        <v>1</v>
      </c>
      <c r="C33" s="5">
        <v>2</v>
      </c>
      <c r="D33" s="5">
        <v>3</v>
      </c>
      <c r="E33" s="33" t="s">
        <v>24</v>
      </c>
      <c r="F33" s="5">
        <v>4</v>
      </c>
      <c r="G33" s="5">
        <v>5</v>
      </c>
      <c r="H33" s="4">
        <v>6</v>
      </c>
      <c r="I33" s="33" t="s">
        <v>24</v>
      </c>
      <c r="J33" s="4">
        <v>7</v>
      </c>
      <c r="K33" s="4">
        <v>8</v>
      </c>
      <c r="L33" s="4">
        <v>9</v>
      </c>
      <c r="M33" s="33" t="s">
        <v>24</v>
      </c>
      <c r="N33" s="4">
        <v>10</v>
      </c>
      <c r="O33" s="4">
        <v>11</v>
      </c>
      <c r="P33" s="4">
        <v>12</v>
      </c>
      <c r="Q33" s="33" t="s">
        <v>24</v>
      </c>
      <c r="R33" s="5" t="s">
        <v>4</v>
      </c>
    </row>
    <row r="34" spans="1:23" x14ac:dyDescent="0.35">
      <c r="A34" s="11">
        <v>2025</v>
      </c>
      <c r="B34" s="12">
        <v>471975</v>
      </c>
      <c r="C34" s="12">
        <v>507303</v>
      </c>
      <c r="D34" s="12">
        <v>536595</v>
      </c>
      <c r="E34" s="34">
        <f t="shared" ref="E34:E39" si="12">SUM(B34:D34)/3</f>
        <v>505291</v>
      </c>
      <c r="F34" s="12">
        <v>487826</v>
      </c>
      <c r="G34" s="12">
        <v>404560</v>
      </c>
      <c r="H34" s="12">
        <v>414715</v>
      </c>
      <c r="I34" s="34">
        <f t="shared" ref="I34:I39" si="13">SUM(F34:H34)/3</f>
        <v>435700.33333333331</v>
      </c>
      <c r="J34" s="12">
        <v>381354</v>
      </c>
      <c r="K34" s="12">
        <v>354009</v>
      </c>
      <c r="L34" s="12">
        <v>46500</v>
      </c>
      <c r="M34" s="34">
        <f t="shared" ref="M34:M39" si="14">SUM(J34:L34)/3</f>
        <v>260621</v>
      </c>
      <c r="N34" s="12">
        <v>51154</v>
      </c>
      <c r="O34" s="12">
        <v>433275</v>
      </c>
      <c r="P34" s="12">
        <v>328514</v>
      </c>
      <c r="Q34" s="34">
        <f t="shared" ref="Q34:Q39" si="15">SUM(N34:P34)/3</f>
        <v>270981</v>
      </c>
      <c r="R34" s="12">
        <v>4417780</v>
      </c>
    </row>
    <row r="35" spans="1:23" x14ac:dyDescent="0.35">
      <c r="A35" s="13" t="s">
        <v>6</v>
      </c>
      <c r="B35" s="14">
        <v>115900</v>
      </c>
      <c r="C35" s="14">
        <v>176584</v>
      </c>
      <c r="D35" s="14">
        <v>272885</v>
      </c>
      <c r="E35" s="35">
        <f t="shared" si="12"/>
        <v>188456.33333333334</v>
      </c>
      <c r="F35" s="14">
        <v>182186</v>
      </c>
      <c r="G35" s="14">
        <v>173465</v>
      </c>
      <c r="H35" s="14">
        <v>82748</v>
      </c>
      <c r="I35" s="35">
        <f t="shared" si="13"/>
        <v>146133</v>
      </c>
      <c r="J35" s="14">
        <v>162775</v>
      </c>
      <c r="K35" s="14">
        <v>146484</v>
      </c>
      <c r="L35" s="14">
        <v>19175</v>
      </c>
      <c r="M35" s="35">
        <f t="shared" si="14"/>
        <v>109478</v>
      </c>
      <c r="N35" s="14">
        <v>32277</v>
      </c>
      <c r="O35" s="14">
        <v>138240</v>
      </c>
      <c r="P35" s="14">
        <v>129048</v>
      </c>
      <c r="Q35" s="35">
        <f t="shared" si="15"/>
        <v>99855</v>
      </c>
      <c r="R35" s="14">
        <v>1631767</v>
      </c>
      <c r="T35" s="22">
        <v>135981</v>
      </c>
    </row>
    <row r="36" spans="1:23" x14ac:dyDescent="0.35">
      <c r="A36" s="13" t="s">
        <v>7</v>
      </c>
      <c r="B36" s="14">
        <v>356075</v>
      </c>
      <c r="C36" s="14">
        <v>330719</v>
      </c>
      <c r="D36" s="14">
        <v>263710</v>
      </c>
      <c r="E36" s="35">
        <f t="shared" si="12"/>
        <v>316834.66666666669</v>
      </c>
      <c r="F36" s="14">
        <v>305640</v>
      </c>
      <c r="G36" s="14">
        <v>231095</v>
      </c>
      <c r="H36" s="14">
        <v>331967</v>
      </c>
      <c r="I36" s="35">
        <f t="shared" si="13"/>
        <v>289567.33333333331</v>
      </c>
      <c r="J36" s="14">
        <v>218579</v>
      </c>
      <c r="K36" s="14">
        <v>207525</v>
      </c>
      <c r="L36" s="14">
        <v>27325</v>
      </c>
      <c r="M36" s="35">
        <f t="shared" si="14"/>
        <v>151143</v>
      </c>
      <c r="N36" s="14">
        <v>18877</v>
      </c>
      <c r="O36" s="14">
        <v>295035</v>
      </c>
      <c r="P36" s="14">
        <v>199466</v>
      </c>
      <c r="Q36" s="35">
        <f t="shared" si="15"/>
        <v>171126</v>
      </c>
      <c r="R36" s="14">
        <v>2786013</v>
      </c>
      <c r="T36" s="22">
        <v>232000</v>
      </c>
      <c r="U36" s="24">
        <f>T36-T35</f>
        <v>96019</v>
      </c>
    </row>
    <row r="37" spans="1:23" x14ac:dyDescent="0.35">
      <c r="A37" s="11">
        <v>2026</v>
      </c>
      <c r="B37" s="12">
        <v>419613</v>
      </c>
      <c r="C37" s="12">
        <v>475326</v>
      </c>
      <c r="D37" s="12">
        <v>606743</v>
      </c>
      <c r="E37" s="34">
        <f t="shared" si="12"/>
        <v>500560.66666666669</v>
      </c>
      <c r="F37" s="12">
        <v>396403</v>
      </c>
      <c r="G37" s="12">
        <v>277256</v>
      </c>
      <c r="H37" s="12">
        <v>0</v>
      </c>
      <c r="I37" s="34">
        <f t="shared" si="13"/>
        <v>224553</v>
      </c>
      <c r="J37" s="12">
        <v>0</v>
      </c>
      <c r="K37" s="12">
        <v>0</v>
      </c>
      <c r="L37" s="12">
        <v>0</v>
      </c>
      <c r="M37" s="34">
        <f t="shared" si="14"/>
        <v>0</v>
      </c>
      <c r="N37" s="12">
        <v>0</v>
      </c>
      <c r="O37" s="12">
        <v>0</v>
      </c>
      <c r="P37" s="12">
        <v>0</v>
      </c>
      <c r="Q37" s="34">
        <f t="shared" si="15"/>
        <v>0</v>
      </c>
      <c r="R37" s="12">
        <v>2175341</v>
      </c>
    </row>
    <row r="38" spans="1:23" x14ac:dyDescent="0.35">
      <c r="A38" s="13" t="s">
        <v>6</v>
      </c>
      <c r="B38" s="14">
        <v>186620</v>
      </c>
      <c r="C38" s="14">
        <v>204571</v>
      </c>
      <c r="D38" s="14">
        <v>225730</v>
      </c>
      <c r="E38" s="35">
        <f t="shared" si="12"/>
        <v>205640.33333333334</v>
      </c>
      <c r="F38" s="14">
        <v>193532</v>
      </c>
      <c r="G38" s="14">
        <v>136511</v>
      </c>
      <c r="H38" s="14">
        <v>0</v>
      </c>
      <c r="I38" s="35">
        <f t="shared" si="13"/>
        <v>110014.33333333333</v>
      </c>
      <c r="J38" s="14">
        <v>0</v>
      </c>
      <c r="K38" s="14">
        <v>0</v>
      </c>
      <c r="L38" s="14">
        <v>0</v>
      </c>
      <c r="M38" s="35">
        <f t="shared" si="14"/>
        <v>0</v>
      </c>
      <c r="N38" s="14">
        <v>0</v>
      </c>
      <c r="O38" s="14">
        <v>0</v>
      </c>
      <c r="P38" s="14">
        <v>0</v>
      </c>
      <c r="Q38" s="35">
        <f t="shared" si="15"/>
        <v>0</v>
      </c>
      <c r="R38" s="14">
        <v>946964</v>
      </c>
      <c r="T38" s="22">
        <v>202600</v>
      </c>
      <c r="U38" s="24">
        <f>T38-T35</f>
        <v>66619</v>
      </c>
      <c r="V38" s="25">
        <f>U38/T35</f>
        <v>0.48991403210742679</v>
      </c>
      <c r="W38" s="26">
        <f>T38*1.2</f>
        <v>243120</v>
      </c>
    </row>
    <row r="39" spans="1:23" x14ac:dyDescent="0.35">
      <c r="A39" s="13" t="s">
        <v>7</v>
      </c>
      <c r="B39" s="14">
        <v>232993</v>
      </c>
      <c r="C39" s="14">
        <v>270755</v>
      </c>
      <c r="D39" s="14">
        <v>381013</v>
      </c>
      <c r="E39" s="35">
        <f t="shared" si="12"/>
        <v>294920.33333333331</v>
      </c>
      <c r="F39" s="14">
        <v>202871</v>
      </c>
      <c r="G39" s="14">
        <v>140745</v>
      </c>
      <c r="H39" s="14">
        <v>0</v>
      </c>
      <c r="I39" s="35">
        <f t="shared" si="13"/>
        <v>114538.66666666667</v>
      </c>
      <c r="J39" s="14">
        <v>0</v>
      </c>
      <c r="K39" s="14">
        <v>0</v>
      </c>
      <c r="L39" s="14">
        <v>0</v>
      </c>
      <c r="M39" s="35">
        <f t="shared" si="14"/>
        <v>0</v>
      </c>
      <c r="N39" s="14">
        <v>0</v>
      </c>
      <c r="O39" s="14">
        <v>0</v>
      </c>
      <c r="P39" s="14">
        <v>0</v>
      </c>
      <c r="Q39" s="35">
        <f t="shared" si="15"/>
        <v>0</v>
      </c>
      <c r="R39" s="14">
        <v>1228377</v>
      </c>
      <c r="T39" s="23">
        <v>271900</v>
      </c>
      <c r="U39" s="24">
        <f>T39-T36</f>
        <v>39900</v>
      </c>
      <c r="V39" s="25">
        <f>U39/T36</f>
        <v>0.17198275862068965</v>
      </c>
      <c r="W39" s="26">
        <f>T39*1.2</f>
        <v>326280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896E-19B3-4442-A809-92F8DA0EF5BA}">
  <sheetPr>
    <tabColor rgb="FFFF0000"/>
  </sheetPr>
  <dimension ref="A1:P74"/>
  <sheetViews>
    <sheetView topLeftCell="E25" zoomScale="89" workbookViewId="0">
      <selection activeCell="G9" sqref="G9"/>
    </sheetView>
  </sheetViews>
  <sheetFormatPr defaultColWidth="8.7265625" defaultRowHeight="15.5" x14ac:dyDescent="0.35"/>
  <cols>
    <col min="1" max="1" width="32.54296875" style="19" customWidth="1"/>
    <col min="2" max="2" width="16.1796875" style="19" customWidth="1"/>
    <col min="3" max="5" width="14.453125" style="19" bestFit="1" customWidth="1"/>
    <col min="6" max="6" width="15.54296875" style="19" bestFit="1" customWidth="1"/>
    <col min="7" max="7" width="26.54296875" style="48" customWidth="1"/>
    <col min="8" max="12" width="11.453125" style="19" customWidth="1"/>
    <col min="13" max="13" width="8.7265625" style="19"/>
    <col min="14" max="14" width="10.81640625" style="19" customWidth="1"/>
    <col min="15" max="15" width="21.81640625" style="19" customWidth="1"/>
    <col min="16" max="16" width="24.81640625" style="19" customWidth="1"/>
    <col min="17" max="16384" width="8.7265625" style="19"/>
  </cols>
  <sheetData>
    <row r="1" spans="1:16" ht="18.5" x14ac:dyDescent="0.45">
      <c r="A1" s="31" t="s">
        <v>11</v>
      </c>
    </row>
    <row r="3" spans="1:16" x14ac:dyDescent="0.35">
      <c r="A3" s="20" t="s">
        <v>13</v>
      </c>
    </row>
    <row r="4" spans="1:16" x14ac:dyDescent="0.35">
      <c r="A4" s="53" t="s">
        <v>12</v>
      </c>
    </row>
    <row r="5" spans="1:16" x14ac:dyDescent="0.35">
      <c r="G5" s="50" t="s">
        <v>38</v>
      </c>
    </row>
    <row r="7" spans="1:16" x14ac:dyDescent="0.35">
      <c r="A7" s="20" t="s">
        <v>19</v>
      </c>
      <c r="H7" s="41" t="s">
        <v>32</v>
      </c>
      <c r="I7" s="41" t="s">
        <v>31</v>
      </c>
      <c r="J7" s="41" t="s">
        <v>36</v>
      </c>
      <c r="K7" s="41" t="s">
        <v>30</v>
      </c>
      <c r="L7" s="41" t="s">
        <v>29</v>
      </c>
      <c r="N7" s="45" t="s">
        <v>40</v>
      </c>
      <c r="O7" s="45" t="s">
        <v>39</v>
      </c>
      <c r="P7" s="48" t="s">
        <v>41</v>
      </c>
    </row>
    <row r="8" spans="1:16" x14ac:dyDescent="0.35">
      <c r="A8" s="27"/>
      <c r="B8" s="28" t="s">
        <v>15</v>
      </c>
      <c r="C8" s="28" t="s">
        <v>16</v>
      </c>
      <c r="D8" s="28" t="s">
        <v>17</v>
      </c>
      <c r="E8" s="28" t="s">
        <v>18</v>
      </c>
      <c r="G8" s="51" t="s">
        <v>34</v>
      </c>
      <c r="H8" s="43">
        <v>1</v>
      </c>
      <c r="I8" s="43">
        <v>2</v>
      </c>
      <c r="J8" s="43">
        <v>3</v>
      </c>
      <c r="K8" s="43">
        <v>4</v>
      </c>
      <c r="L8" s="43">
        <v>5</v>
      </c>
      <c r="N8" s="46">
        <v>1</v>
      </c>
      <c r="O8" s="47">
        <v>0.5</v>
      </c>
      <c r="P8" s="109" t="s">
        <v>56</v>
      </c>
    </row>
    <row r="9" spans="1:16" ht="31" x14ac:dyDescent="0.35">
      <c r="A9" s="28" t="s">
        <v>22</v>
      </c>
      <c r="B9" s="29">
        <v>225000</v>
      </c>
      <c r="C9" s="29">
        <f>B9+50000</f>
        <v>275000</v>
      </c>
      <c r="D9" s="29">
        <f>C9+50000</f>
        <v>325000</v>
      </c>
      <c r="E9" s="29">
        <f>D9+50000</f>
        <v>375000</v>
      </c>
      <c r="G9" s="52" t="s">
        <v>33</v>
      </c>
      <c r="H9" s="27"/>
      <c r="I9" s="27"/>
      <c r="J9" s="27"/>
      <c r="K9" s="27"/>
      <c r="L9" s="27"/>
      <c r="N9" s="46">
        <v>2</v>
      </c>
      <c r="O9" s="47">
        <v>0.65</v>
      </c>
      <c r="P9" s="109"/>
    </row>
    <row r="10" spans="1:16" ht="31" x14ac:dyDescent="0.35">
      <c r="A10" s="28" t="s">
        <v>14</v>
      </c>
      <c r="B10" s="29">
        <f>B9*3</f>
        <v>675000</v>
      </c>
      <c r="C10" s="29">
        <f t="shared" ref="C10:E10" si="0">C9*3</f>
        <v>825000</v>
      </c>
      <c r="D10" s="29">
        <f t="shared" si="0"/>
        <v>975000</v>
      </c>
      <c r="E10" s="29">
        <f t="shared" si="0"/>
        <v>1125000</v>
      </c>
      <c r="G10" s="52" t="s">
        <v>28</v>
      </c>
      <c r="H10" s="27"/>
      <c r="I10" s="27"/>
      <c r="J10" s="27"/>
      <c r="K10" s="27"/>
      <c r="L10" s="27"/>
      <c r="N10" s="46">
        <v>3</v>
      </c>
      <c r="O10" s="47">
        <v>0.8</v>
      </c>
      <c r="P10" s="109"/>
    </row>
    <row r="11" spans="1:16" ht="31" x14ac:dyDescent="0.35">
      <c r="A11" s="28" t="s">
        <v>25</v>
      </c>
      <c r="B11" s="29">
        <v>3000</v>
      </c>
      <c r="C11" s="29">
        <v>6000</v>
      </c>
      <c r="D11" s="29">
        <v>9000</v>
      </c>
      <c r="E11" s="29">
        <v>16000</v>
      </c>
      <c r="G11" s="52" t="s">
        <v>37</v>
      </c>
      <c r="H11" s="27"/>
      <c r="I11" s="27"/>
      <c r="J11" s="27"/>
      <c r="K11" s="27"/>
      <c r="L11" s="27"/>
      <c r="N11" s="46">
        <v>4</v>
      </c>
      <c r="O11" s="47">
        <v>1</v>
      </c>
      <c r="P11" s="109"/>
    </row>
    <row r="12" spans="1:16" x14ac:dyDescent="0.35">
      <c r="G12" s="52" t="s">
        <v>35</v>
      </c>
      <c r="H12" s="27"/>
      <c r="I12" s="27"/>
      <c r="J12" s="27"/>
      <c r="K12" s="27"/>
      <c r="L12" s="27"/>
      <c r="N12" s="46">
        <v>5</v>
      </c>
      <c r="O12" s="47">
        <v>1.2</v>
      </c>
      <c r="P12" s="109"/>
    </row>
    <row r="13" spans="1:16" x14ac:dyDescent="0.35">
      <c r="H13" s="42">
        <f>SUM(H9:H12)</f>
        <v>0</v>
      </c>
      <c r="I13" s="42">
        <f t="shared" ref="I13:L13" si="1">SUM(I9:I12)</f>
        <v>0</v>
      </c>
      <c r="J13" s="42">
        <f t="shared" si="1"/>
        <v>0</v>
      </c>
      <c r="K13" s="42">
        <f t="shared" si="1"/>
        <v>0</v>
      </c>
      <c r="L13" s="42">
        <f t="shared" si="1"/>
        <v>0</v>
      </c>
      <c r="M13" s="44">
        <f>SUM(H13:L13)/4</f>
        <v>0</v>
      </c>
    </row>
    <row r="16" spans="1:16" ht="18.5" x14ac:dyDescent="0.45">
      <c r="A16" s="21" t="s">
        <v>21</v>
      </c>
      <c r="H16" s="41" t="s">
        <v>32</v>
      </c>
      <c r="I16" s="41" t="s">
        <v>31</v>
      </c>
      <c r="J16" s="41" t="s">
        <v>36</v>
      </c>
      <c r="K16" s="41" t="s">
        <v>30</v>
      </c>
      <c r="L16" s="41" t="s">
        <v>29</v>
      </c>
      <c r="N16" s="45" t="s">
        <v>40</v>
      </c>
      <c r="O16" s="45" t="s">
        <v>39</v>
      </c>
      <c r="P16" s="48" t="s">
        <v>41</v>
      </c>
    </row>
    <row r="17" spans="1:16" x14ac:dyDescent="0.35">
      <c r="A17" s="30" t="s">
        <v>20</v>
      </c>
      <c r="B17" s="28" t="s">
        <v>15</v>
      </c>
      <c r="C17" s="28" t="s">
        <v>16</v>
      </c>
      <c r="D17" s="28" t="s">
        <v>17</v>
      </c>
      <c r="E17" s="28" t="s">
        <v>18</v>
      </c>
      <c r="G17" s="51" t="s">
        <v>34</v>
      </c>
      <c r="H17" s="43">
        <v>1</v>
      </c>
      <c r="I17" s="43">
        <v>2</v>
      </c>
      <c r="J17" s="43">
        <v>3</v>
      </c>
      <c r="K17" s="43">
        <v>4</v>
      </c>
      <c r="L17" s="43">
        <v>5</v>
      </c>
      <c r="N17" s="46">
        <v>1</v>
      </c>
      <c r="O17" s="47">
        <v>0.5</v>
      </c>
      <c r="P17" s="109" t="s">
        <v>46</v>
      </c>
    </row>
    <row r="18" spans="1:16" ht="31" x14ac:dyDescent="0.35">
      <c r="A18" s="28" t="s">
        <v>45</v>
      </c>
      <c r="B18" s="29">
        <v>440</v>
      </c>
      <c r="C18" s="29">
        <f>B18+25</f>
        <v>465</v>
      </c>
      <c r="D18" s="29">
        <f t="shared" ref="D18:E18" si="2">C18+25</f>
        <v>490</v>
      </c>
      <c r="E18" s="29">
        <f t="shared" si="2"/>
        <v>515</v>
      </c>
      <c r="G18" s="52" t="s">
        <v>44</v>
      </c>
      <c r="H18" s="27"/>
      <c r="I18" s="27"/>
      <c r="J18" s="27"/>
      <c r="K18" s="27"/>
      <c r="L18" s="27"/>
      <c r="N18" s="46">
        <v>2</v>
      </c>
      <c r="O18" s="47">
        <v>0.65</v>
      </c>
      <c r="P18" s="109"/>
    </row>
    <row r="19" spans="1:16" ht="31" x14ac:dyDescent="0.35">
      <c r="A19" s="28" t="s">
        <v>51</v>
      </c>
      <c r="B19" s="29">
        <f>B18*3</f>
        <v>1320</v>
      </c>
      <c r="C19" s="29">
        <f t="shared" ref="C19:E19" si="3">C18*3</f>
        <v>1395</v>
      </c>
      <c r="D19" s="29">
        <f t="shared" si="3"/>
        <v>1470</v>
      </c>
      <c r="E19" s="29">
        <f t="shared" si="3"/>
        <v>1545</v>
      </c>
      <c r="G19" s="52" t="s">
        <v>42</v>
      </c>
      <c r="H19" s="27"/>
      <c r="I19" s="27"/>
      <c r="J19" s="27"/>
      <c r="K19" s="27"/>
      <c r="L19" s="27"/>
      <c r="N19" s="46">
        <v>3</v>
      </c>
      <c r="O19" s="47">
        <v>0.8</v>
      </c>
      <c r="P19" s="109"/>
    </row>
    <row r="20" spans="1:16" ht="46.5" x14ac:dyDescent="0.35">
      <c r="A20" s="28" t="s">
        <v>52</v>
      </c>
      <c r="B20" s="29">
        <v>3000</v>
      </c>
      <c r="C20" s="29">
        <v>6000</v>
      </c>
      <c r="D20" s="29">
        <v>9000</v>
      </c>
      <c r="E20" s="29">
        <v>12000</v>
      </c>
      <c r="G20" s="52" t="s">
        <v>43</v>
      </c>
      <c r="H20" s="27"/>
      <c r="I20" s="27"/>
      <c r="J20" s="27"/>
      <c r="K20" s="27"/>
      <c r="L20" s="27"/>
      <c r="N20" s="46">
        <v>4</v>
      </c>
      <c r="O20" s="47">
        <v>1</v>
      </c>
      <c r="P20" s="109"/>
    </row>
    <row r="21" spans="1:16" ht="31" x14ac:dyDescent="0.35">
      <c r="A21" s="39"/>
      <c r="B21" s="40"/>
      <c r="C21" s="40"/>
      <c r="D21" s="40"/>
      <c r="E21" s="40"/>
      <c r="G21" s="52" t="s">
        <v>48</v>
      </c>
      <c r="H21" s="27"/>
      <c r="I21" s="27"/>
      <c r="J21" s="27"/>
      <c r="K21" s="27"/>
      <c r="L21" s="27"/>
      <c r="N21" s="46">
        <v>5</v>
      </c>
      <c r="O21" s="47">
        <v>1.2</v>
      </c>
      <c r="P21" s="109"/>
    </row>
    <row r="22" spans="1:16" x14ac:dyDescent="0.35">
      <c r="A22" s="39"/>
      <c r="B22" s="40"/>
      <c r="C22" s="40"/>
      <c r="D22" s="40"/>
      <c r="E22" s="40"/>
      <c r="H22" s="42">
        <f>SUM(H18:H21)</f>
        <v>0</v>
      </c>
      <c r="I22" s="42">
        <f t="shared" ref="I22" si="4">SUM(I18:I21)</f>
        <v>0</v>
      </c>
      <c r="J22" s="42">
        <f t="shared" ref="J22" si="5">SUM(J18:J21)</f>
        <v>0</v>
      </c>
      <c r="K22" s="42">
        <f t="shared" ref="K22" si="6">SUM(K18:K21)</f>
        <v>0</v>
      </c>
      <c r="L22" s="42">
        <f t="shared" ref="L22" si="7">SUM(L18:L21)</f>
        <v>0</v>
      </c>
      <c r="M22" s="44">
        <f>SUM(H22:L22)/4</f>
        <v>0</v>
      </c>
    </row>
    <row r="23" spans="1:16" x14ac:dyDescent="0.35">
      <c r="A23" s="39"/>
      <c r="B23" s="40"/>
      <c r="C23" s="40"/>
      <c r="D23" s="40"/>
      <c r="E23" s="40"/>
    </row>
    <row r="25" spans="1:16" ht="18.5" x14ac:dyDescent="0.45">
      <c r="A25" s="21" t="s">
        <v>47</v>
      </c>
      <c r="H25" s="41" t="s">
        <v>32</v>
      </c>
      <c r="I25" s="41" t="s">
        <v>31</v>
      </c>
      <c r="J25" s="41" t="s">
        <v>36</v>
      </c>
      <c r="K25" s="41" t="s">
        <v>30</v>
      </c>
      <c r="L25" s="41" t="s">
        <v>29</v>
      </c>
      <c r="N25" s="45" t="s">
        <v>40</v>
      </c>
      <c r="O25" s="45" t="s">
        <v>39</v>
      </c>
      <c r="P25" s="48" t="s">
        <v>41</v>
      </c>
    </row>
    <row r="26" spans="1:16" x14ac:dyDescent="0.35">
      <c r="A26" s="30" t="s">
        <v>23</v>
      </c>
      <c r="B26" s="28" t="s">
        <v>15</v>
      </c>
      <c r="C26" s="28" t="s">
        <v>16</v>
      </c>
      <c r="D26" s="28" t="s">
        <v>17</v>
      </c>
      <c r="E26" s="28" t="s">
        <v>18</v>
      </c>
      <c r="G26" s="51" t="s">
        <v>34</v>
      </c>
      <c r="H26" s="43">
        <v>1</v>
      </c>
      <c r="I26" s="43">
        <v>2</v>
      </c>
      <c r="J26" s="43">
        <v>3</v>
      </c>
      <c r="K26" s="43">
        <v>4</v>
      </c>
      <c r="L26" s="43">
        <v>5</v>
      </c>
      <c r="N26" s="46">
        <v>1</v>
      </c>
      <c r="O26" s="47">
        <v>0.5</v>
      </c>
      <c r="P26" s="109" t="s">
        <v>46</v>
      </c>
    </row>
    <row r="27" spans="1:16" ht="31" x14ac:dyDescent="0.35">
      <c r="A27" s="28" t="s">
        <v>45</v>
      </c>
      <c r="B27" s="29">
        <v>50</v>
      </c>
      <c r="C27" s="29">
        <v>60</v>
      </c>
      <c r="D27" s="29">
        <v>70</v>
      </c>
      <c r="E27" s="29">
        <v>80</v>
      </c>
      <c r="G27" s="52" t="s">
        <v>44</v>
      </c>
      <c r="H27" s="27"/>
      <c r="I27" s="27"/>
      <c r="J27" s="27"/>
      <c r="K27" s="27"/>
      <c r="L27" s="27"/>
      <c r="N27" s="46">
        <v>2</v>
      </c>
      <c r="O27" s="47">
        <v>0.65</v>
      </c>
      <c r="P27" s="109"/>
    </row>
    <row r="28" spans="1:16" ht="31" x14ac:dyDescent="0.35">
      <c r="A28" s="28" t="s">
        <v>51</v>
      </c>
      <c r="B28" s="29">
        <f>B27*3</f>
        <v>150</v>
      </c>
      <c r="C28" s="29">
        <f t="shared" ref="C28" si="8">C27*3</f>
        <v>180</v>
      </c>
      <c r="D28" s="29">
        <f t="shared" ref="D28" si="9">D27*3</f>
        <v>210</v>
      </c>
      <c r="E28" s="29">
        <f t="shared" ref="E28" si="10">E27*3</f>
        <v>240</v>
      </c>
      <c r="G28" s="52" t="s">
        <v>42</v>
      </c>
      <c r="H28" s="27"/>
      <c r="I28" s="27"/>
      <c r="J28" s="27"/>
      <c r="K28" s="27"/>
      <c r="L28" s="27"/>
      <c r="N28" s="46">
        <v>3</v>
      </c>
      <c r="O28" s="47">
        <v>0.8</v>
      </c>
      <c r="P28" s="109"/>
    </row>
    <row r="29" spans="1:16" ht="31" x14ac:dyDescent="0.35">
      <c r="A29" s="28" t="s">
        <v>52</v>
      </c>
      <c r="B29" s="29">
        <v>3000</v>
      </c>
      <c r="C29" s="29">
        <v>4500</v>
      </c>
      <c r="D29" s="29">
        <v>6000</v>
      </c>
      <c r="E29" s="29">
        <v>7500</v>
      </c>
      <c r="G29" s="52" t="s">
        <v>48</v>
      </c>
      <c r="H29" s="27"/>
      <c r="I29" s="27"/>
      <c r="J29" s="27"/>
      <c r="K29" s="27"/>
      <c r="L29" s="27"/>
      <c r="N29" s="46">
        <v>4</v>
      </c>
      <c r="O29" s="47">
        <v>1</v>
      </c>
      <c r="P29" s="109"/>
    </row>
    <row r="30" spans="1:16" ht="31" x14ac:dyDescent="0.35">
      <c r="G30" s="52" t="s">
        <v>50</v>
      </c>
      <c r="H30" s="27"/>
      <c r="I30" s="27"/>
      <c r="J30" s="27"/>
      <c r="K30" s="27"/>
      <c r="L30" s="27"/>
      <c r="N30" s="46">
        <v>5</v>
      </c>
      <c r="O30" s="47">
        <v>1.2</v>
      </c>
      <c r="P30" s="109"/>
    </row>
    <row r="31" spans="1:16" x14ac:dyDescent="0.35">
      <c r="H31" s="42">
        <f>SUM(H27:H30)</f>
        <v>0</v>
      </c>
      <c r="I31" s="42">
        <f t="shared" ref="I31" si="11">SUM(I27:I30)</f>
        <v>0</v>
      </c>
      <c r="J31" s="42">
        <f t="shared" ref="J31" si="12">SUM(J27:J30)</f>
        <v>0</v>
      </c>
      <c r="K31" s="42">
        <f t="shared" ref="K31" si="13">SUM(K27:K30)</f>
        <v>0</v>
      </c>
      <c r="L31" s="42">
        <f t="shared" ref="L31" si="14">SUM(L27:L30)</f>
        <v>0</v>
      </c>
      <c r="M31" s="44">
        <f>SUM(H31:L31)/4</f>
        <v>0</v>
      </c>
    </row>
    <row r="32" spans="1:16" ht="31" x14ac:dyDescent="0.35">
      <c r="A32" s="54" t="s">
        <v>49</v>
      </c>
      <c r="B32" s="55" t="s">
        <v>100</v>
      </c>
      <c r="C32" s="62"/>
      <c r="D32" s="62"/>
      <c r="E32" s="62"/>
    </row>
    <row r="33" spans="1:16" x14ac:dyDescent="0.35">
      <c r="A33" s="55" t="s">
        <v>100</v>
      </c>
      <c r="B33" s="60">
        <v>3</v>
      </c>
      <c r="C33" s="61"/>
      <c r="D33" s="61"/>
      <c r="E33" s="40"/>
    </row>
    <row r="34" spans="1:16" x14ac:dyDescent="0.35">
      <c r="A34" s="59" t="s">
        <v>101</v>
      </c>
      <c r="B34" s="60">
        <f>B33*3</f>
        <v>9</v>
      </c>
      <c r="C34" s="61"/>
      <c r="D34" s="61"/>
      <c r="E34" s="40"/>
    </row>
    <row r="35" spans="1:16" x14ac:dyDescent="0.35">
      <c r="A35" s="59" t="s">
        <v>25</v>
      </c>
      <c r="B35" s="29">
        <v>3000</v>
      </c>
      <c r="C35" s="40"/>
      <c r="D35" s="40"/>
      <c r="E35" s="40"/>
    </row>
    <row r="37" spans="1:16" x14ac:dyDescent="0.35">
      <c r="A37" s="20" t="s">
        <v>102</v>
      </c>
    </row>
    <row r="41" spans="1:16" x14ac:dyDescent="0.35">
      <c r="C41" s="49"/>
      <c r="D41" s="49"/>
      <c r="E41" s="49"/>
    </row>
    <row r="42" spans="1:16" ht="18.5" x14ac:dyDescent="0.45">
      <c r="A42" s="21" t="s">
        <v>27</v>
      </c>
    </row>
    <row r="43" spans="1:16" x14ac:dyDescent="0.35">
      <c r="A43" s="30"/>
      <c r="B43" s="28" t="s">
        <v>15</v>
      </c>
      <c r="C43" s="28" t="s">
        <v>16</v>
      </c>
      <c r="D43" s="28" t="s">
        <v>17</v>
      </c>
      <c r="E43" s="28" t="s">
        <v>18</v>
      </c>
      <c r="G43" s="48" t="s">
        <v>26</v>
      </c>
      <c r="H43" s="41" t="s">
        <v>32</v>
      </c>
      <c r="I43" s="41" t="s">
        <v>31</v>
      </c>
      <c r="J43" s="41" t="s">
        <v>36</v>
      </c>
      <c r="K43" s="41" t="s">
        <v>30</v>
      </c>
      <c r="L43" s="41" t="s">
        <v>29</v>
      </c>
      <c r="N43" s="45" t="s">
        <v>40</v>
      </c>
      <c r="O43" s="45" t="s">
        <v>39</v>
      </c>
      <c r="P43" s="48" t="s">
        <v>41</v>
      </c>
    </row>
    <row r="44" spans="1:16" ht="31" x14ac:dyDescent="0.35">
      <c r="A44" s="54" t="s">
        <v>58</v>
      </c>
      <c r="B44" s="58">
        <v>2050000</v>
      </c>
      <c r="C44" s="58">
        <f>B44+100000</f>
        <v>2150000</v>
      </c>
      <c r="D44" s="58">
        <f>C44+100000</f>
        <v>2250000</v>
      </c>
      <c r="E44" s="58">
        <f>D44+100000</f>
        <v>2350000</v>
      </c>
      <c r="G44" s="51" t="s">
        <v>34</v>
      </c>
      <c r="H44" s="43">
        <v>1</v>
      </c>
      <c r="I44" s="43">
        <v>2</v>
      </c>
      <c r="J44" s="43">
        <v>3</v>
      </c>
      <c r="K44" s="43">
        <v>4</v>
      </c>
      <c r="L44" s="43">
        <v>5</v>
      </c>
      <c r="N44" s="46">
        <v>1</v>
      </c>
      <c r="O44" s="47">
        <v>0.5</v>
      </c>
      <c r="P44" s="109" t="s">
        <v>46</v>
      </c>
    </row>
    <row r="45" spans="1:16" ht="31" x14ac:dyDescent="0.35">
      <c r="A45" s="55" t="s">
        <v>59</v>
      </c>
      <c r="B45" s="57">
        <f>B44*3</f>
        <v>6150000</v>
      </c>
      <c r="C45" s="57">
        <f t="shared" ref="C45:E45" si="15">C44*3</f>
        <v>6450000</v>
      </c>
      <c r="D45" s="57">
        <f t="shared" si="15"/>
        <v>6750000</v>
      </c>
      <c r="E45" s="57">
        <f t="shared" si="15"/>
        <v>7050000</v>
      </c>
      <c r="G45" s="52" t="s">
        <v>54</v>
      </c>
      <c r="H45" s="27"/>
      <c r="I45" s="27"/>
      <c r="J45" s="27"/>
      <c r="K45" s="27"/>
      <c r="L45" s="27"/>
      <c r="N45" s="46">
        <v>2</v>
      </c>
      <c r="O45" s="47">
        <v>0.65</v>
      </c>
      <c r="P45" s="109"/>
    </row>
    <row r="46" spans="1:16" ht="31" x14ac:dyDescent="0.35">
      <c r="A46" s="55" t="s">
        <v>25</v>
      </c>
      <c r="B46" s="57">
        <f>1000*3</f>
        <v>3000</v>
      </c>
      <c r="C46" s="57">
        <f>1500*3</f>
        <v>4500</v>
      </c>
      <c r="D46" s="57">
        <f>2000*3</f>
        <v>6000</v>
      </c>
      <c r="E46" s="57">
        <f>2500*3</f>
        <v>7500</v>
      </c>
      <c r="G46" s="52" t="s">
        <v>57</v>
      </c>
      <c r="H46" s="27"/>
      <c r="I46" s="27"/>
      <c r="J46" s="27"/>
      <c r="K46" s="27"/>
      <c r="L46" s="27"/>
      <c r="N46" s="46">
        <v>3</v>
      </c>
      <c r="O46" s="47">
        <v>0.8</v>
      </c>
      <c r="P46" s="109"/>
    </row>
    <row r="47" spans="1:16" ht="31" x14ac:dyDescent="0.35">
      <c r="B47" s="49"/>
      <c r="C47" s="49"/>
      <c r="D47" s="49"/>
      <c r="E47" s="49"/>
      <c r="G47" s="52" t="s">
        <v>53</v>
      </c>
      <c r="H47" s="27"/>
      <c r="I47" s="27"/>
      <c r="J47" s="27"/>
      <c r="K47" s="27"/>
      <c r="L47" s="27"/>
      <c r="N47" s="46">
        <v>4</v>
      </c>
      <c r="O47" s="47">
        <v>1</v>
      </c>
      <c r="P47" s="109"/>
    </row>
    <row r="48" spans="1:16" ht="31" x14ac:dyDescent="0.35">
      <c r="A48" s="110" t="s">
        <v>60</v>
      </c>
      <c r="B48" s="110"/>
      <c r="C48" s="110"/>
      <c r="D48" s="110"/>
      <c r="E48" s="110"/>
      <c r="G48" s="52" t="s">
        <v>132</v>
      </c>
      <c r="H48" s="27"/>
      <c r="I48" s="27"/>
      <c r="J48" s="27"/>
      <c r="K48" s="27"/>
      <c r="L48" s="27"/>
      <c r="N48" s="46">
        <v>5</v>
      </c>
      <c r="O48" s="47">
        <v>1.2</v>
      </c>
      <c r="P48" s="109"/>
    </row>
    <row r="49" spans="1:16" x14ac:dyDescent="0.35">
      <c r="A49" s="110"/>
      <c r="B49" s="110"/>
      <c r="C49" s="110"/>
      <c r="D49" s="110"/>
      <c r="E49" s="110"/>
      <c r="H49" s="42">
        <f>SUM(H45:H48)</f>
        <v>0</v>
      </c>
      <c r="I49" s="42">
        <f t="shared" ref="I49" si="16">SUM(I45:I48)</f>
        <v>0</v>
      </c>
      <c r="J49" s="42">
        <f t="shared" ref="J49" si="17">SUM(J45:J48)</f>
        <v>0</v>
      </c>
      <c r="K49" s="42">
        <f t="shared" ref="K49" si="18">SUM(K45:K48)</f>
        <v>0</v>
      </c>
      <c r="L49" s="42">
        <f t="shared" ref="L49" si="19">SUM(L45:L48)</f>
        <v>0</v>
      </c>
      <c r="M49" s="44">
        <f>SUM(H49:L49)/4</f>
        <v>0</v>
      </c>
    </row>
    <row r="50" spans="1:16" x14ac:dyDescent="0.35">
      <c r="A50" s="56"/>
      <c r="B50" s="56"/>
      <c r="C50" s="56"/>
      <c r="D50" s="56"/>
      <c r="E50" s="56"/>
    </row>
    <row r="51" spans="1:16" x14ac:dyDescent="0.35">
      <c r="A51" s="39"/>
      <c r="B51" s="40"/>
      <c r="C51" s="40"/>
      <c r="D51" s="40"/>
      <c r="E51" s="40"/>
      <c r="G51" s="48" t="s">
        <v>119</v>
      </c>
      <c r="H51" s="41" t="s">
        <v>32</v>
      </c>
      <c r="I51" s="41" t="s">
        <v>31</v>
      </c>
      <c r="J51" s="41" t="s">
        <v>36</v>
      </c>
      <c r="K51" s="41" t="s">
        <v>30</v>
      </c>
      <c r="L51" s="41" t="s">
        <v>29</v>
      </c>
      <c r="N51" s="45" t="s">
        <v>40</v>
      </c>
      <c r="O51" s="45" t="s">
        <v>39</v>
      </c>
      <c r="P51" s="48" t="s">
        <v>41</v>
      </c>
    </row>
    <row r="52" spans="1:16" x14ac:dyDescent="0.35">
      <c r="G52" s="51" t="s">
        <v>34</v>
      </c>
      <c r="H52" s="43">
        <v>1</v>
      </c>
      <c r="I52" s="43">
        <v>2</v>
      </c>
      <c r="J52" s="43">
        <v>3</v>
      </c>
      <c r="K52" s="43">
        <v>4</v>
      </c>
      <c r="L52" s="43">
        <v>5</v>
      </c>
      <c r="N52" s="46">
        <v>1</v>
      </c>
      <c r="O52" s="47">
        <v>0.5</v>
      </c>
      <c r="P52" s="109" t="s">
        <v>46</v>
      </c>
    </row>
    <row r="53" spans="1:16" ht="31" x14ac:dyDescent="0.35">
      <c r="G53" s="52" t="s">
        <v>120</v>
      </c>
      <c r="H53" s="27"/>
      <c r="I53" s="27"/>
      <c r="J53" s="27"/>
      <c r="K53" s="27"/>
      <c r="L53" s="27"/>
      <c r="N53" s="46">
        <v>2</v>
      </c>
      <c r="O53" s="47">
        <v>0.65</v>
      </c>
      <c r="P53" s="109"/>
    </row>
    <row r="54" spans="1:16" ht="31" x14ac:dyDescent="0.35">
      <c r="G54" s="52" t="s">
        <v>55</v>
      </c>
      <c r="H54" s="27"/>
      <c r="I54" s="27"/>
      <c r="J54" s="27"/>
      <c r="K54" s="27"/>
      <c r="L54" s="27"/>
      <c r="N54" s="46">
        <v>3</v>
      </c>
      <c r="O54" s="47">
        <v>0.8</v>
      </c>
      <c r="P54" s="109"/>
    </row>
    <row r="55" spans="1:16" ht="31" x14ac:dyDescent="0.35">
      <c r="G55" s="52" t="s">
        <v>121</v>
      </c>
      <c r="H55" s="27"/>
      <c r="I55" s="27"/>
      <c r="J55" s="27"/>
      <c r="K55" s="27"/>
      <c r="L55" s="27"/>
      <c r="N55" s="46">
        <v>4</v>
      </c>
      <c r="O55" s="47">
        <v>1</v>
      </c>
      <c r="P55" s="109"/>
    </row>
    <row r="56" spans="1:16" ht="31" x14ac:dyDescent="0.35">
      <c r="G56" s="52" t="s">
        <v>122</v>
      </c>
      <c r="H56" s="27"/>
      <c r="I56" s="27"/>
      <c r="J56" s="27"/>
      <c r="K56" s="27"/>
      <c r="L56" s="27"/>
      <c r="N56" s="46">
        <v>5</v>
      </c>
      <c r="O56" s="47">
        <v>1.2</v>
      </c>
      <c r="P56" s="109"/>
    </row>
    <row r="57" spans="1:16" x14ac:dyDescent="0.35">
      <c r="H57" s="42">
        <f>SUM(H53:H56)</f>
        <v>0</v>
      </c>
      <c r="I57" s="42">
        <f t="shared" ref="I57" si="20">SUM(I53:I56)</f>
        <v>0</v>
      </c>
      <c r="J57" s="42">
        <f t="shared" ref="J57" si="21">SUM(J53:J56)</f>
        <v>0</v>
      </c>
      <c r="K57" s="42">
        <f t="shared" ref="K57" si="22">SUM(K53:K56)</f>
        <v>0</v>
      </c>
      <c r="L57" s="42">
        <f t="shared" ref="L57" si="23">SUM(L53:L56)</f>
        <v>0</v>
      </c>
      <c r="M57" s="44">
        <f>SUM(H57:L57)/4</f>
        <v>0</v>
      </c>
    </row>
    <row r="59" spans="1:16" x14ac:dyDescent="0.35">
      <c r="G59" s="48" t="s">
        <v>124</v>
      </c>
      <c r="H59" s="41" t="s">
        <v>32</v>
      </c>
      <c r="I59" s="41" t="s">
        <v>31</v>
      </c>
      <c r="J59" s="41" t="s">
        <v>36</v>
      </c>
      <c r="K59" s="41" t="s">
        <v>30</v>
      </c>
      <c r="L59" s="41" t="s">
        <v>29</v>
      </c>
      <c r="N59" s="45" t="s">
        <v>40</v>
      </c>
      <c r="O59" s="45" t="s">
        <v>39</v>
      </c>
      <c r="P59" s="48" t="s">
        <v>41</v>
      </c>
    </row>
    <row r="60" spans="1:16" x14ac:dyDescent="0.35">
      <c r="G60" s="51" t="s">
        <v>34</v>
      </c>
      <c r="H60" s="43">
        <v>1</v>
      </c>
      <c r="I60" s="43">
        <v>2</v>
      </c>
      <c r="J60" s="43">
        <v>3</v>
      </c>
      <c r="K60" s="43">
        <v>4</v>
      </c>
      <c r="L60" s="43">
        <v>5</v>
      </c>
      <c r="N60" s="46">
        <v>1</v>
      </c>
      <c r="O60" s="47">
        <v>0.5</v>
      </c>
      <c r="P60" s="109" t="s">
        <v>46</v>
      </c>
    </row>
    <row r="61" spans="1:16" ht="31" x14ac:dyDescent="0.35">
      <c r="G61" s="52" t="s">
        <v>128</v>
      </c>
      <c r="H61" s="27"/>
      <c r="I61" s="27"/>
      <c r="J61" s="27"/>
      <c r="K61" s="27"/>
      <c r="L61" s="27"/>
      <c r="N61" s="46">
        <v>2</v>
      </c>
      <c r="O61" s="47">
        <v>0.65</v>
      </c>
      <c r="P61" s="109"/>
    </row>
    <row r="62" spans="1:16" ht="31" x14ac:dyDescent="0.35">
      <c r="G62" s="52" t="s">
        <v>127</v>
      </c>
      <c r="H62" s="27"/>
      <c r="I62" s="27"/>
      <c r="J62" s="27"/>
      <c r="K62" s="27"/>
      <c r="L62" s="27"/>
      <c r="N62" s="46">
        <v>3</v>
      </c>
      <c r="O62" s="47">
        <v>0.8</v>
      </c>
      <c r="P62" s="109"/>
    </row>
    <row r="63" spans="1:16" ht="31" x14ac:dyDescent="0.35">
      <c r="G63" s="52" t="s">
        <v>129</v>
      </c>
      <c r="H63" s="27"/>
      <c r="I63" s="27"/>
      <c r="J63" s="27"/>
      <c r="K63" s="27"/>
      <c r="L63" s="27"/>
      <c r="N63" s="46">
        <v>4</v>
      </c>
      <c r="O63" s="47">
        <v>1</v>
      </c>
      <c r="P63" s="109"/>
    </row>
    <row r="64" spans="1:16" ht="31" x14ac:dyDescent="0.35">
      <c r="G64" s="52" t="s">
        <v>132</v>
      </c>
      <c r="H64" s="27"/>
      <c r="I64" s="27"/>
      <c r="J64" s="27"/>
      <c r="K64" s="27"/>
      <c r="L64" s="27"/>
      <c r="N64" s="46">
        <v>5</v>
      </c>
      <c r="O64" s="47">
        <v>1.2</v>
      </c>
      <c r="P64" s="109"/>
    </row>
    <row r="65" spans="7:16" x14ac:dyDescent="0.35">
      <c r="H65" s="42">
        <f>SUM(H61:H64)</f>
        <v>0</v>
      </c>
      <c r="I65" s="42">
        <f t="shared" ref="I65:L65" si="24">SUM(I61:I64)</f>
        <v>0</v>
      </c>
      <c r="J65" s="42">
        <f t="shared" si="24"/>
        <v>0</v>
      </c>
      <c r="K65" s="42">
        <f t="shared" si="24"/>
        <v>0</v>
      </c>
      <c r="L65" s="42">
        <f t="shared" si="24"/>
        <v>0</v>
      </c>
      <c r="M65" s="44">
        <f>SUM(H65:L65)/4</f>
        <v>0</v>
      </c>
    </row>
    <row r="68" spans="7:16" x14ac:dyDescent="0.35">
      <c r="G68" s="48" t="s">
        <v>123</v>
      </c>
      <c r="H68" s="41" t="s">
        <v>32</v>
      </c>
      <c r="I68" s="41" t="s">
        <v>31</v>
      </c>
      <c r="J68" s="41" t="s">
        <v>36</v>
      </c>
      <c r="K68" s="41" t="s">
        <v>30</v>
      </c>
      <c r="L68" s="41" t="s">
        <v>29</v>
      </c>
      <c r="N68" s="45" t="s">
        <v>40</v>
      </c>
      <c r="O68" s="45" t="s">
        <v>39</v>
      </c>
      <c r="P68" s="48" t="s">
        <v>41</v>
      </c>
    </row>
    <row r="69" spans="7:16" x14ac:dyDescent="0.35">
      <c r="G69" s="51" t="s">
        <v>34</v>
      </c>
      <c r="H69" s="43">
        <v>1</v>
      </c>
      <c r="I69" s="43">
        <v>2</v>
      </c>
      <c r="J69" s="43">
        <v>3</v>
      </c>
      <c r="K69" s="43">
        <v>4</v>
      </c>
      <c r="L69" s="43">
        <v>5</v>
      </c>
      <c r="N69" s="46">
        <v>1</v>
      </c>
      <c r="O69" s="47">
        <v>0.5</v>
      </c>
      <c r="P69" s="109" t="s">
        <v>46</v>
      </c>
    </row>
    <row r="70" spans="7:16" ht="31" x14ac:dyDescent="0.35">
      <c r="G70" s="52" t="s">
        <v>125</v>
      </c>
      <c r="H70" s="27"/>
      <c r="I70" s="27"/>
      <c r="J70" s="27"/>
      <c r="K70" s="27"/>
      <c r="L70" s="27"/>
      <c r="N70" s="46">
        <v>2</v>
      </c>
      <c r="O70" s="47">
        <v>0.65</v>
      </c>
      <c r="P70" s="109"/>
    </row>
    <row r="71" spans="7:16" ht="46.5" x14ac:dyDescent="0.35">
      <c r="G71" s="52" t="s">
        <v>126</v>
      </c>
      <c r="H71" s="27"/>
      <c r="I71" s="27"/>
      <c r="J71" s="27"/>
      <c r="K71" s="27"/>
      <c r="L71" s="27"/>
      <c r="N71" s="46">
        <v>3</v>
      </c>
      <c r="O71" s="47">
        <v>0.8</v>
      </c>
      <c r="P71" s="109"/>
    </row>
    <row r="72" spans="7:16" x14ac:dyDescent="0.35">
      <c r="G72" s="52" t="s">
        <v>130</v>
      </c>
      <c r="H72" s="27"/>
      <c r="I72" s="27"/>
      <c r="J72" s="27"/>
      <c r="K72" s="27"/>
      <c r="L72" s="27"/>
      <c r="N72" s="46">
        <v>4</v>
      </c>
      <c r="O72" s="47">
        <v>1</v>
      </c>
      <c r="P72" s="109"/>
    </row>
    <row r="73" spans="7:16" ht="31" x14ac:dyDescent="0.35">
      <c r="G73" s="52" t="s">
        <v>131</v>
      </c>
      <c r="H73" s="27"/>
      <c r="I73" s="27"/>
      <c r="J73" s="27"/>
      <c r="K73" s="27"/>
      <c r="L73" s="27"/>
      <c r="N73" s="46">
        <v>5</v>
      </c>
      <c r="O73" s="47">
        <v>1.2</v>
      </c>
      <c r="P73" s="109"/>
    </row>
    <row r="74" spans="7:16" x14ac:dyDescent="0.35">
      <c r="H74" s="42">
        <f>SUM(H70:H73)</f>
        <v>0</v>
      </c>
      <c r="I74" s="42">
        <f t="shared" ref="I74:L74" si="25">SUM(I70:I73)</f>
        <v>0</v>
      </c>
      <c r="J74" s="42">
        <f t="shared" si="25"/>
        <v>0</v>
      </c>
      <c r="K74" s="42">
        <f t="shared" si="25"/>
        <v>0</v>
      </c>
      <c r="L74" s="42">
        <f t="shared" si="25"/>
        <v>0</v>
      </c>
      <c r="M74" s="44">
        <f>SUM(H74:L74)/4</f>
        <v>0</v>
      </c>
    </row>
  </sheetData>
  <mergeCells count="8">
    <mergeCell ref="P52:P56"/>
    <mergeCell ref="P60:P64"/>
    <mergeCell ref="P69:P73"/>
    <mergeCell ref="A48:E49"/>
    <mergeCell ref="P8:P12"/>
    <mergeCell ref="P17:P21"/>
    <mergeCell ref="P26:P30"/>
    <mergeCell ref="P44:P48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4DC2-4FCA-4419-A8F8-B9DEA90FE1FA}">
  <sheetPr>
    <tabColor theme="4" tint="0.59999389629810485"/>
  </sheetPr>
  <dimension ref="A1:X2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009" sqref="G2009"/>
    </sheetView>
  </sheetViews>
  <sheetFormatPr defaultColWidth="8.7265625" defaultRowHeight="14.5" x14ac:dyDescent="0.35"/>
  <cols>
    <col min="1" max="2" width="8.7265625" style="78"/>
    <col min="3" max="3" width="14.26953125" style="78" bestFit="1" customWidth="1"/>
    <col min="4" max="4" width="16.1796875" style="78" customWidth="1"/>
    <col min="5" max="5" width="12.453125" style="78" bestFit="1" customWidth="1"/>
    <col min="6" max="6" width="16.81640625" style="78" customWidth="1"/>
    <col min="7" max="7" width="12.54296875" style="78" customWidth="1"/>
    <col min="8" max="8" width="10.26953125" style="78" customWidth="1"/>
    <col min="9" max="9" width="15.453125" style="78" customWidth="1"/>
    <col min="10" max="10" width="10.26953125" style="78" customWidth="1"/>
    <col min="11" max="11" width="12" style="78" customWidth="1"/>
    <col min="12" max="12" width="10.453125" style="74" bestFit="1" customWidth="1"/>
    <col min="13" max="16384" width="8.7265625" style="75"/>
  </cols>
  <sheetData>
    <row r="1" spans="1:24" ht="29" x14ac:dyDescent="0.35">
      <c r="A1" s="73" t="s">
        <v>61</v>
      </c>
      <c r="B1" s="73" t="s">
        <v>62</v>
      </c>
      <c r="C1" s="73" t="s">
        <v>94</v>
      </c>
      <c r="D1" s="73" t="s">
        <v>63</v>
      </c>
      <c r="E1" s="73" t="s">
        <v>96</v>
      </c>
      <c r="F1" s="73" t="s">
        <v>108</v>
      </c>
      <c r="G1" s="73" t="s">
        <v>98</v>
      </c>
      <c r="H1" s="73" t="s">
        <v>97</v>
      </c>
      <c r="I1" s="73" t="s">
        <v>95</v>
      </c>
      <c r="J1" s="73" t="s">
        <v>99</v>
      </c>
      <c r="K1" s="74" t="s">
        <v>40</v>
      </c>
      <c r="L1" s="73" t="s">
        <v>133</v>
      </c>
      <c r="X1" s="76" t="s">
        <v>64</v>
      </c>
    </row>
    <row r="2" spans="1:24" hidden="1" x14ac:dyDescent="0.35">
      <c r="A2" s="78" t="s">
        <v>145</v>
      </c>
      <c r="B2" s="78">
        <v>2026</v>
      </c>
      <c r="C2" s="80" t="s">
        <v>146</v>
      </c>
      <c r="D2" s="78" t="s">
        <v>91</v>
      </c>
      <c r="E2" s="78">
        <v>3</v>
      </c>
      <c r="F2" s="78">
        <v>4</v>
      </c>
      <c r="G2" s="78">
        <v>4</v>
      </c>
      <c r="H2" s="78">
        <v>5</v>
      </c>
      <c r="I2" s="78">
        <v>4</v>
      </c>
      <c r="J2" s="78">
        <v>3</v>
      </c>
      <c r="K2" s="81">
        <f>SUM(Table1[[#This Row],[Technical Knowledge]:[Repeat job nahin aana]])/6</f>
        <v>3.8333333333333335</v>
      </c>
      <c r="L2" s="79">
        <f>IFERROR(AVERAGEIFS(Table1[Final Score],Table1[Month],Table1[[#This Row],[Month]],Table1[Year],Table1[[#This Row],[Year]],Table1[Mechanic Name],Table1[[#This Row],[Mechanic Name]]),"")</f>
        <v>3.8333333333333335</v>
      </c>
      <c r="X2" s="77" t="s">
        <v>65</v>
      </c>
    </row>
    <row r="3" spans="1:24" hidden="1" x14ac:dyDescent="0.35">
      <c r="A3" s="78" t="s">
        <v>147</v>
      </c>
      <c r="B3" s="78">
        <v>2026</v>
      </c>
      <c r="C3" s="80" t="s">
        <v>148</v>
      </c>
      <c r="D3" s="78" t="s">
        <v>91</v>
      </c>
      <c r="E3" s="78">
        <v>3</v>
      </c>
      <c r="F3" s="78">
        <v>4</v>
      </c>
      <c r="G3" s="78">
        <v>4</v>
      </c>
      <c r="H3" s="78">
        <v>5</v>
      </c>
      <c r="I3" s="78">
        <v>4</v>
      </c>
      <c r="J3" s="78">
        <v>3</v>
      </c>
      <c r="K3" s="81">
        <f>SUM(Table1[[#This Row],[Technical Knowledge]:[Repeat job nahin aana]])/6</f>
        <v>3.8333333333333335</v>
      </c>
      <c r="L3" s="79">
        <f>IFERROR(AVERAGEIFS(Table1[Final Score],Table1[Month],Table1[[#This Row],[Month]],Table1[Year],Table1[[#This Row],[Year]],Table1[Mechanic Name],Table1[[#This Row],[Mechanic Name]]),"")</f>
        <v>3.4444444444444446</v>
      </c>
      <c r="X3" s="77" t="s">
        <v>66</v>
      </c>
    </row>
    <row r="4" spans="1:24" hidden="1" x14ac:dyDescent="0.35">
      <c r="A4" s="78" t="s">
        <v>147</v>
      </c>
      <c r="B4" s="78">
        <v>2026</v>
      </c>
      <c r="C4" s="80" t="s">
        <v>154</v>
      </c>
      <c r="D4" s="78" t="s">
        <v>91</v>
      </c>
      <c r="E4" s="78">
        <v>3</v>
      </c>
      <c r="F4" s="78">
        <v>2</v>
      </c>
      <c r="G4" s="78">
        <v>3</v>
      </c>
      <c r="H4" s="78">
        <v>2</v>
      </c>
      <c r="I4" s="78">
        <v>3</v>
      </c>
      <c r="J4" s="78">
        <v>3</v>
      </c>
      <c r="K4" s="81">
        <f>SUM(Table1[[#This Row],[Technical Knowledge]:[Repeat job nahin aana]])/6</f>
        <v>2.6666666666666665</v>
      </c>
      <c r="L4" s="79">
        <f>IFERROR(AVERAGEIFS(Table1[Final Score],Table1[Month],Table1[[#This Row],[Month]],Table1[Year],Table1[[#This Row],[Year]],Table1[Mechanic Name],Table1[[#This Row],[Mechanic Name]]),"")</f>
        <v>3.4444444444444446</v>
      </c>
      <c r="X4" s="77" t="s">
        <v>67</v>
      </c>
    </row>
    <row r="5" spans="1:24" x14ac:dyDescent="0.35">
      <c r="A5" s="78" t="s">
        <v>147</v>
      </c>
      <c r="B5" s="78">
        <v>2026</v>
      </c>
      <c r="C5" s="80" t="s">
        <v>155</v>
      </c>
      <c r="D5" s="116" t="s">
        <v>91</v>
      </c>
      <c r="E5" s="78">
        <v>3</v>
      </c>
      <c r="F5" s="78">
        <v>4</v>
      </c>
      <c r="G5" s="78">
        <v>3</v>
      </c>
      <c r="H5" s="78">
        <v>5</v>
      </c>
      <c r="I5" s="78">
        <v>4</v>
      </c>
      <c r="J5" s="78">
        <v>4</v>
      </c>
      <c r="K5" s="81">
        <f>SUM(Table1[[#This Row],[Technical Knowledge]:[Repeat job nahin aana]])/6</f>
        <v>3.8333333333333335</v>
      </c>
      <c r="L5" s="79">
        <f>IFERROR(AVERAGEIFS(Table1[Final Score],Table1[Month],Table1[[#This Row],[Month]],Table1[Year],Table1[[#This Row],[Year]],Table1[Mechanic Name],Table1[[#This Row],[Mechanic Name]]),"")</f>
        <v>3.4444444444444446</v>
      </c>
      <c r="X5" s="77" t="s">
        <v>68</v>
      </c>
    </row>
    <row r="6" spans="1:24" hidden="1" x14ac:dyDescent="0.35">
      <c r="A6" s="78" t="s">
        <v>147</v>
      </c>
      <c r="B6" s="78">
        <v>2026</v>
      </c>
      <c r="C6" s="80" t="s">
        <v>146</v>
      </c>
      <c r="D6" s="78" t="s">
        <v>76</v>
      </c>
      <c r="E6" s="78">
        <v>4</v>
      </c>
      <c r="F6" s="78">
        <v>5</v>
      </c>
      <c r="G6" s="78">
        <v>3</v>
      </c>
      <c r="H6" s="78">
        <v>5</v>
      </c>
      <c r="I6" s="78">
        <v>5</v>
      </c>
      <c r="J6" s="78">
        <v>5</v>
      </c>
      <c r="K6" s="81">
        <f>SUM(Table1[[#This Row],[Technical Knowledge]:[Repeat job nahin aana]])/6</f>
        <v>4.5</v>
      </c>
      <c r="L6" s="79">
        <f>IFERROR(AVERAGEIFS(Table1[Final Score],Table1[Month],Table1[[#This Row],[Month]],Table1[Year],Table1[[#This Row],[Year]],Table1[Mechanic Name],Table1[[#This Row],[Mechanic Name]]),"")</f>
        <v>4.041666666666667</v>
      </c>
      <c r="X6" s="77" t="s">
        <v>69</v>
      </c>
    </row>
    <row r="7" spans="1:24" hidden="1" x14ac:dyDescent="0.35">
      <c r="A7" s="78" t="s">
        <v>147</v>
      </c>
      <c r="B7" s="78">
        <v>2026</v>
      </c>
      <c r="C7" s="80" t="s">
        <v>148</v>
      </c>
      <c r="D7" s="78" t="s">
        <v>76</v>
      </c>
      <c r="E7" s="78">
        <v>5</v>
      </c>
      <c r="F7" s="78">
        <v>5</v>
      </c>
      <c r="G7" s="78">
        <v>4</v>
      </c>
      <c r="H7" s="78">
        <v>5</v>
      </c>
      <c r="I7" s="78">
        <v>4</v>
      </c>
      <c r="J7" s="78">
        <v>5</v>
      </c>
      <c r="K7" s="81">
        <f>SUM(Table1[[#This Row],[Technical Knowledge]:[Repeat job nahin aana]])/6</f>
        <v>4.666666666666667</v>
      </c>
      <c r="L7" s="79">
        <f>IFERROR(AVERAGEIFS(Table1[Final Score],Table1[Month],Table1[[#This Row],[Month]],Table1[Year],Table1[[#This Row],[Year]],Table1[Mechanic Name],Table1[[#This Row],[Mechanic Name]]),"")</f>
        <v>4.041666666666667</v>
      </c>
      <c r="X7" s="77" t="s">
        <v>70</v>
      </c>
    </row>
    <row r="8" spans="1:24" hidden="1" x14ac:dyDescent="0.35">
      <c r="A8" s="78" t="s">
        <v>147</v>
      </c>
      <c r="B8" s="78">
        <v>2026</v>
      </c>
      <c r="C8" s="80" t="s">
        <v>154</v>
      </c>
      <c r="D8" s="78" t="s">
        <v>76</v>
      </c>
      <c r="E8" s="78">
        <v>4</v>
      </c>
      <c r="F8" s="78">
        <v>4</v>
      </c>
      <c r="G8" s="78">
        <v>3</v>
      </c>
      <c r="H8" s="78">
        <v>4</v>
      </c>
      <c r="I8" s="78">
        <v>5</v>
      </c>
      <c r="J8" s="78">
        <v>4</v>
      </c>
      <c r="K8" s="81">
        <f>SUM(Table1[[#This Row],[Technical Knowledge]:[Repeat job nahin aana]])/6</f>
        <v>4</v>
      </c>
      <c r="L8" s="79">
        <f>IFERROR(AVERAGEIFS(Table1[Final Score],Table1[Month],Table1[[#This Row],[Month]],Table1[Year],Table1[[#This Row],[Year]],Table1[Mechanic Name],Table1[[#This Row],[Mechanic Name]]),"")</f>
        <v>4.041666666666667</v>
      </c>
      <c r="X8" s="77" t="s">
        <v>71</v>
      </c>
    </row>
    <row r="9" spans="1:24" x14ac:dyDescent="0.35">
      <c r="A9" s="78" t="s">
        <v>147</v>
      </c>
      <c r="B9" s="78">
        <v>2026</v>
      </c>
      <c r="C9" s="80" t="s">
        <v>155</v>
      </c>
      <c r="D9" s="115" t="s">
        <v>76</v>
      </c>
      <c r="E9" s="78">
        <v>4</v>
      </c>
      <c r="F9" s="78">
        <v>4</v>
      </c>
      <c r="G9" s="78">
        <v>3</v>
      </c>
      <c r="I9" s="78">
        <v>3</v>
      </c>
      <c r="J9" s="78">
        <v>4</v>
      </c>
      <c r="K9" s="81">
        <f>SUM(Table1[[#This Row],[Technical Knowledge]:[Repeat job nahin aana]])/6</f>
        <v>3</v>
      </c>
      <c r="L9" s="79">
        <f>IFERROR(AVERAGEIFS(Table1[Final Score],Table1[Month],Table1[[#This Row],[Month]],Table1[Year],Table1[[#This Row],[Year]],Table1[Mechanic Name],Table1[[#This Row],[Mechanic Name]]),"")</f>
        <v>4.041666666666667</v>
      </c>
      <c r="X9" s="77" t="s">
        <v>72</v>
      </c>
    </row>
    <row r="10" spans="1:24" hidden="1" x14ac:dyDescent="0.35">
      <c r="A10" s="78" t="s">
        <v>147</v>
      </c>
      <c r="B10" s="78">
        <v>2026</v>
      </c>
      <c r="C10" s="80" t="s">
        <v>146</v>
      </c>
      <c r="D10" s="78" t="s">
        <v>66</v>
      </c>
      <c r="E10" s="78">
        <v>5</v>
      </c>
      <c r="F10" s="78">
        <v>5</v>
      </c>
      <c r="G10" s="78">
        <v>5</v>
      </c>
      <c r="H10" s="78">
        <v>5</v>
      </c>
      <c r="I10" s="78">
        <v>4</v>
      </c>
      <c r="J10" s="78">
        <v>5</v>
      </c>
      <c r="K10" s="81">
        <f>SUM(Table1[[#This Row],[Technical Knowledge]:[Repeat job nahin aana]])/6</f>
        <v>4.833333333333333</v>
      </c>
      <c r="L10" s="79">
        <f>IFERROR(AVERAGEIFS(Table1[Final Score],Table1[Month],Table1[[#This Row],[Month]],Table1[Year],Table1[[#This Row],[Year]],Table1[Mechanic Name],Table1[[#This Row],[Mechanic Name]]),"")</f>
        <v>4.708333333333333</v>
      </c>
      <c r="X10" s="77" t="s">
        <v>73</v>
      </c>
    </row>
    <row r="11" spans="1:24" hidden="1" x14ac:dyDescent="0.35">
      <c r="A11" s="78" t="s">
        <v>147</v>
      </c>
      <c r="B11" s="78">
        <v>2026</v>
      </c>
      <c r="C11" s="80" t="s">
        <v>148</v>
      </c>
      <c r="D11" s="78" t="s">
        <v>66</v>
      </c>
      <c r="E11" s="78">
        <v>5</v>
      </c>
      <c r="F11" s="78">
        <v>5</v>
      </c>
      <c r="G11" s="78">
        <v>4</v>
      </c>
      <c r="H11" s="78">
        <v>5</v>
      </c>
      <c r="I11" s="78">
        <v>5</v>
      </c>
      <c r="J11" s="78">
        <v>4</v>
      </c>
      <c r="K11" s="81">
        <f>SUM(Table1[[#This Row],[Technical Knowledge]:[Repeat job nahin aana]])/6</f>
        <v>4.666666666666667</v>
      </c>
      <c r="L11" s="79">
        <f>IFERROR(AVERAGEIFS(Table1[Final Score],Table1[Month],Table1[[#This Row],[Month]],Table1[Year],Table1[[#This Row],[Year]],Table1[Mechanic Name],Table1[[#This Row],[Mechanic Name]]),"")</f>
        <v>4.708333333333333</v>
      </c>
      <c r="X11" s="77" t="s">
        <v>74</v>
      </c>
    </row>
    <row r="12" spans="1:24" hidden="1" x14ac:dyDescent="0.35">
      <c r="A12" s="78" t="s">
        <v>147</v>
      </c>
      <c r="B12" s="78">
        <v>2026</v>
      </c>
      <c r="C12" s="80" t="s">
        <v>154</v>
      </c>
      <c r="D12" s="78" t="s">
        <v>66</v>
      </c>
      <c r="E12" s="78">
        <v>5</v>
      </c>
      <c r="F12" s="78">
        <v>4</v>
      </c>
      <c r="G12" s="78">
        <v>4</v>
      </c>
      <c r="H12" s="78">
        <v>4</v>
      </c>
      <c r="I12" s="78">
        <v>5</v>
      </c>
      <c r="J12" s="78">
        <v>5</v>
      </c>
      <c r="K12" s="81">
        <f>SUM(Table1[[#This Row],[Technical Knowledge]:[Repeat job nahin aana]])/6</f>
        <v>4.5</v>
      </c>
      <c r="L12" s="79">
        <f>IFERROR(AVERAGEIFS(Table1[Final Score],Table1[Month],Table1[[#This Row],[Month]],Table1[Year],Table1[[#This Row],[Year]],Table1[Mechanic Name],Table1[[#This Row],[Mechanic Name]]),"")</f>
        <v>4.708333333333333</v>
      </c>
      <c r="X12" s="77" t="s">
        <v>75</v>
      </c>
    </row>
    <row r="13" spans="1:24" x14ac:dyDescent="0.35">
      <c r="A13" s="78" t="s">
        <v>147</v>
      </c>
      <c r="B13" s="78">
        <v>2026</v>
      </c>
      <c r="C13" s="80" t="s">
        <v>155</v>
      </c>
      <c r="D13" s="115" t="s">
        <v>66</v>
      </c>
      <c r="E13" s="78">
        <v>5</v>
      </c>
      <c r="F13" s="78">
        <v>5</v>
      </c>
      <c r="G13" s="78">
        <v>5</v>
      </c>
      <c r="H13" s="78">
        <v>5</v>
      </c>
      <c r="I13" s="78">
        <v>5</v>
      </c>
      <c r="J13" s="78">
        <v>4</v>
      </c>
      <c r="K13" s="81">
        <f>SUM(Table1[[#This Row],[Technical Knowledge]:[Repeat job nahin aana]])/6</f>
        <v>4.833333333333333</v>
      </c>
      <c r="L13" s="79">
        <f>IFERROR(AVERAGEIFS(Table1[Final Score],Table1[Month],Table1[[#This Row],[Month]],Table1[Year],Table1[[#This Row],[Year]],Table1[Mechanic Name],Table1[[#This Row],[Mechanic Name]]),"")</f>
        <v>4.708333333333333</v>
      </c>
      <c r="X13" s="77" t="s">
        <v>76</v>
      </c>
    </row>
    <row r="14" spans="1:24" hidden="1" x14ac:dyDescent="0.35">
      <c r="A14" s="78" t="s">
        <v>147</v>
      </c>
      <c r="B14" s="78">
        <v>2026</v>
      </c>
      <c r="C14" s="80" t="s">
        <v>146</v>
      </c>
      <c r="D14" s="78" t="s">
        <v>150</v>
      </c>
      <c r="E14" s="78">
        <v>5</v>
      </c>
      <c r="F14" s="78">
        <v>4</v>
      </c>
      <c r="G14" s="78">
        <v>4</v>
      </c>
      <c r="H14" s="78">
        <v>5</v>
      </c>
      <c r="I14" s="78">
        <v>5</v>
      </c>
      <c r="J14" s="78">
        <v>5</v>
      </c>
      <c r="K14" s="81">
        <f>SUM(Table1[[#This Row],[Technical Knowledge]:[Repeat job nahin aana]])/6</f>
        <v>4.666666666666667</v>
      </c>
      <c r="L14" s="79">
        <f>IFERROR(AVERAGEIFS(Table1[Final Score],Table1[Month],Table1[[#This Row],[Month]],Table1[Year],Table1[[#This Row],[Year]],Table1[Mechanic Name],Table1[[#This Row],[Mechanic Name]]),"")</f>
        <v>4.625</v>
      </c>
      <c r="X14" s="77" t="s">
        <v>77</v>
      </c>
    </row>
    <row r="15" spans="1:24" hidden="1" x14ac:dyDescent="0.35">
      <c r="A15" s="78" t="s">
        <v>147</v>
      </c>
      <c r="B15" s="78">
        <v>2026</v>
      </c>
      <c r="C15" s="80" t="s">
        <v>148</v>
      </c>
      <c r="D15" s="78" t="s">
        <v>150</v>
      </c>
      <c r="E15" s="78">
        <v>4</v>
      </c>
      <c r="F15" s="78">
        <v>5</v>
      </c>
      <c r="G15" s="78">
        <v>5</v>
      </c>
      <c r="H15" s="78">
        <v>5</v>
      </c>
      <c r="I15" s="78">
        <v>4</v>
      </c>
      <c r="J15" s="78">
        <v>5</v>
      </c>
      <c r="K15" s="81">
        <f>SUM(Table1[[#This Row],[Technical Knowledge]:[Repeat job nahin aana]])/6</f>
        <v>4.666666666666667</v>
      </c>
      <c r="L15" s="79">
        <f>IFERROR(AVERAGEIFS(Table1[Final Score],Table1[Month],Table1[[#This Row],[Month]],Table1[Year],Table1[[#This Row],[Year]],Table1[Mechanic Name],Table1[[#This Row],[Mechanic Name]]),"")</f>
        <v>4.625</v>
      </c>
      <c r="X15" s="77" t="s">
        <v>78</v>
      </c>
    </row>
    <row r="16" spans="1:24" hidden="1" x14ac:dyDescent="0.35">
      <c r="A16" s="78" t="s">
        <v>147</v>
      </c>
      <c r="B16" s="78">
        <v>2026</v>
      </c>
      <c r="C16" s="80" t="s">
        <v>154</v>
      </c>
      <c r="D16" s="78" t="s">
        <v>150</v>
      </c>
      <c r="E16" s="78">
        <v>4</v>
      </c>
      <c r="F16" s="78">
        <v>5</v>
      </c>
      <c r="G16" s="78">
        <v>4</v>
      </c>
      <c r="H16" s="78">
        <v>5</v>
      </c>
      <c r="I16" s="78">
        <v>5</v>
      </c>
      <c r="J16" s="78">
        <v>5</v>
      </c>
      <c r="K16" s="81">
        <f>SUM(Table1[[#This Row],[Technical Knowledge]:[Repeat job nahin aana]])/6</f>
        <v>4.666666666666667</v>
      </c>
      <c r="L16" s="79">
        <f>IFERROR(AVERAGEIFS(Table1[Final Score],Table1[Month],Table1[[#This Row],[Month]],Table1[Year],Table1[[#This Row],[Year]],Table1[Mechanic Name],Table1[[#This Row],[Mechanic Name]]),"")</f>
        <v>4.625</v>
      </c>
      <c r="X16" s="77" t="s">
        <v>79</v>
      </c>
    </row>
    <row r="17" spans="1:24" x14ac:dyDescent="0.35">
      <c r="A17" s="78" t="s">
        <v>147</v>
      </c>
      <c r="B17" s="78">
        <v>2026</v>
      </c>
      <c r="C17" s="80" t="s">
        <v>155</v>
      </c>
      <c r="D17" s="115" t="s">
        <v>150</v>
      </c>
      <c r="E17" s="78">
        <v>5</v>
      </c>
      <c r="F17" s="78">
        <v>4</v>
      </c>
      <c r="G17" s="78">
        <v>5</v>
      </c>
      <c r="H17" s="78">
        <v>5</v>
      </c>
      <c r="I17" s="78">
        <v>4</v>
      </c>
      <c r="J17" s="78">
        <v>4</v>
      </c>
      <c r="K17" s="81">
        <f>SUM(Table1[[#This Row],[Technical Knowledge]:[Repeat job nahin aana]])/6</f>
        <v>4.5</v>
      </c>
      <c r="L17" s="79">
        <f>IFERROR(AVERAGEIFS(Table1[Final Score],Table1[Month],Table1[[#This Row],[Month]],Table1[Year],Table1[[#This Row],[Year]],Table1[Mechanic Name],Table1[[#This Row],[Mechanic Name]]),"")</f>
        <v>4.625</v>
      </c>
      <c r="X17" s="77" t="s">
        <v>80</v>
      </c>
    </row>
    <row r="18" spans="1:24" hidden="1" x14ac:dyDescent="0.35">
      <c r="A18" s="78" t="s">
        <v>147</v>
      </c>
      <c r="B18" s="78">
        <v>2026</v>
      </c>
      <c r="C18" s="80" t="s">
        <v>146</v>
      </c>
      <c r="D18" s="78" t="s">
        <v>84</v>
      </c>
      <c r="E18" s="78">
        <v>5</v>
      </c>
      <c r="F18" s="78">
        <v>5</v>
      </c>
      <c r="G18" s="78">
        <v>5</v>
      </c>
      <c r="H18" s="78">
        <v>4</v>
      </c>
      <c r="I18" s="78">
        <v>5</v>
      </c>
      <c r="J18" s="78">
        <v>5</v>
      </c>
      <c r="K18" s="81">
        <f>SUM(Table1[[#This Row],[Technical Knowledge]:[Repeat job nahin aana]])/6</f>
        <v>4.833333333333333</v>
      </c>
      <c r="L18" s="79">
        <f>IFERROR(AVERAGEIFS(Table1[Final Score],Table1[Month],Table1[[#This Row],[Month]],Table1[Year],Table1[[#This Row],[Year]],Table1[Mechanic Name],Table1[[#This Row],[Mechanic Name]]),"")</f>
        <v>4.6666666666666661</v>
      </c>
      <c r="X18" s="77" t="s">
        <v>81</v>
      </c>
    </row>
    <row r="19" spans="1:24" hidden="1" x14ac:dyDescent="0.35">
      <c r="A19" s="78" t="s">
        <v>147</v>
      </c>
      <c r="B19" s="78">
        <v>2026</v>
      </c>
      <c r="C19" s="80" t="s">
        <v>148</v>
      </c>
      <c r="D19" s="78" t="s">
        <v>84</v>
      </c>
      <c r="E19" s="78">
        <v>5</v>
      </c>
      <c r="F19" s="78">
        <v>5</v>
      </c>
      <c r="G19" s="78">
        <v>5</v>
      </c>
      <c r="H19" s="78">
        <v>4</v>
      </c>
      <c r="I19" s="78">
        <v>5</v>
      </c>
      <c r="J19" s="78">
        <v>5</v>
      </c>
      <c r="K19" s="81">
        <f>SUM(Table1[[#This Row],[Technical Knowledge]:[Repeat job nahin aana]])/6</f>
        <v>4.833333333333333</v>
      </c>
      <c r="L19" s="79">
        <f>IFERROR(AVERAGEIFS(Table1[Final Score],Table1[Month],Table1[[#This Row],[Month]],Table1[Year],Table1[[#This Row],[Year]],Table1[Mechanic Name],Table1[[#This Row],[Mechanic Name]]),"")</f>
        <v>4.6666666666666661</v>
      </c>
      <c r="X19" s="77" t="s">
        <v>82</v>
      </c>
    </row>
    <row r="20" spans="1:24" hidden="1" x14ac:dyDescent="0.35">
      <c r="A20" s="78" t="s">
        <v>147</v>
      </c>
      <c r="B20" s="78">
        <v>2026</v>
      </c>
      <c r="C20" s="80" t="s">
        <v>154</v>
      </c>
      <c r="D20" s="78" t="s">
        <v>84</v>
      </c>
      <c r="E20" s="78">
        <v>5</v>
      </c>
      <c r="F20" s="78">
        <v>4</v>
      </c>
      <c r="G20" s="78">
        <v>4</v>
      </c>
      <c r="H20" s="78">
        <v>4</v>
      </c>
      <c r="I20" s="78">
        <v>5</v>
      </c>
      <c r="J20" s="78">
        <v>5</v>
      </c>
      <c r="K20" s="81">
        <f>SUM(Table1[[#This Row],[Technical Knowledge]:[Repeat job nahin aana]])/6</f>
        <v>4.5</v>
      </c>
      <c r="L20" s="79">
        <f>IFERROR(AVERAGEIFS(Table1[Final Score],Table1[Month],Table1[[#This Row],[Month]],Table1[Year],Table1[[#This Row],[Year]],Table1[Mechanic Name],Table1[[#This Row],[Mechanic Name]]),"")</f>
        <v>4.6666666666666661</v>
      </c>
      <c r="X20" s="77" t="s">
        <v>83</v>
      </c>
    </row>
    <row r="21" spans="1:24" x14ac:dyDescent="0.35">
      <c r="A21" s="78" t="s">
        <v>147</v>
      </c>
      <c r="B21" s="78">
        <v>2026</v>
      </c>
      <c r="C21" s="80" t="s">
        <v>155</v>
      </c>
      <c r="D21" s="115" t="s">
        <v>84</v>
      </c>
      <c r="E21" s="78">
        <v>5</v>
      </c>
      <c r="F21" s="78">
        <v>5</v>
      </c>
      <c r="G21" s="78">
        <v>4</v>
      </c>
      <c r="H21" s="78">
        <v>4</v>
      </c>
      <c r="I21" s="78">
        <v>4</v>
      </c>
      <c r="J21" s="78">
        <v>5</v>
      </c>
      <c r="K21" s="81">
        <f>SUM(Table1[[#This Row],[Technical Knowledge]:[Repeat job nahin aana]])/6</f>
        <v>4.5</v>
      </c>
      <c r="L21" s="79">
        <f>IFERROR(AVERAGEIFS(Table1[Final Score],Table1[Month],Table1[[#This Row],[Month]],Table1[Year],Table1[[#This Row],[Year]],Table1[Mechanic Name],Table1[[#This Row],[Mechanic Name]]),"")</f>
        <v>4.6666666666666661</v>
      </c>
      <c r="X21" s="77" t="s">
        <v>84</v>
      </c>
    </row>
    <row r="22" spans="1:24" hidden="1" x14ac:dyDescent="0.35">
      <c r="A22" s="78" t="s">
        <v>147</v>
      </c>
      <c r="B22" s="78">
        <v>2026</v>
      </c>
      <c r="C22" s="80" t="s">
        <v>146</v>
      </c>
      <c r="D22" s="78" t="s">
        <v>70</v>
      </c>
      <c r="E22" s="78">
        <v>5</v>
      </c>
      <c r="F22" s="78">
        <v>5</v>
      </c>
      <c r="G22" s="78">
        <v>4</v>
      </c>
      <c r="H22" s="78">
        <v>5</v>
      </c>
      <c r="I22" s="78">
        <v>4</v>
      </c>
      <c r="J22" s="78">
        <v>5</v>
      </c>
      <c r="K22" s="81">
        <f>SUM(Table1[[#This Row],[Technical Knowledge]:[Repeat job nahin aana]])/6</f>
        <v>4.666666666666667</v>
      </c>
      <c r="L22" s="79">
        <f>IFERROR(AVERAGEIFS(Table1[Final Score],Table1[Month],Table1[[#This Row],[Month]],Table1[Year],Table1[[#This Row],[Year]],Table1[Mechanic Name],Table1[[#This Row],[Mechanic Name]]),"")</f>
        <v>4.166666666666667</v>
      </c>
      <c r="X22" s="77" t="s">
        <v>85</v>
      </c>
    </row>
    <row r="23" spans="1:24" hidden="1" x14ac:dyDescent="0.35">
      <c r="A23" s="78" t="s">
        <v>147</v>
      </c>
      <c r="B23" s="78">
        <v>2026</v>
      </c>
      <c r="C23" s="80" t="s">
        <v>148</v>
      </c>
      <c r="D23" s="78" t="s">
        <v>70</v>
      </c>
      <c r="E23" s="78">
        <v>5</v>
      </c>
      <c r="F23" s="78">
        <v>5</v>
      </c>
      <c r="G23" s="78">
        <v>3</v>
      </c>
      <c r="H23" s="78">
        <v>4</v>
      </c>
      <c r="I23" s="78">
        <v>5</v>
      </c>
      <c r="J23" s="78">
        <v>5</v>
      </c>
      <c r="K23" s="81">
        <f>SUM(Table1[[#This Row],[Technical Knowledge]:[Repeat job nahin aana]])/6</f>
        <v>4.5</v>
      </c>
      <c r="L23" s="79">
        <f>IFERROR(AVERAGEIFS(Table1[Final Score],Table1[Month],Table1[[#This Row],[Month]],Table1[Year],Table1[[#This Row],[Year]],Table1[Mechanic Name],Table1[[#This Row],[Mechanic Name]]),"")</f>
        <v>4.166666666666667</v>
      </c>
      <c r="X23" s="77" t="s">
        <v>86</v>
      </c>
    </row>
    <row r="24" spans="1:24" hidden="1" x14ac:dyDescent="0.35">
      <c r="A24" s="78" t="s">
        <v>147</v>
      </c>
      <c r="B24" s="78">
        <v>2026</v>
      </c>
      <c r="C24" s="80" t="s">
        <v>154</v>
      </c>
      <c r="D24" s="78" t="s">
        <v>70</v>
      </c>
      <c r="E24" s="78">
        <v>4</v>
      </c>
      <c r="F24" s="78">
        <v>3</v>
      </c>
      <c r="G24" s="78">
        <v>3</v>
      </c>
      <c r="H24" s="78">
        <v>4</v>
      </c>
      <c r="I24" s="78">
        <v>3</v>
      </c>
      <c r="J24" s="78">
        <v>3</v>
      </c>
      <c r="K24" s="81">
        <f>SUM(Table1[[#This Row],[Technical Knowledge]:[Repeat job nahin aana]])/6</f>
        <v>3.3333333333333335</v>
      </c>
      <c r="L24" s="79">
        <f>IFERROR(AVERAGEIFS(Table1[Final Score],Table1[Month],Table1[[#This Row],[Month]],Table1[Year],Table1[[#This Row],[Year]],Table1[Mechanic Name],Table1[[#This Row],[Mechanic Name]]),"")</f>
        <v>4.166666666666667</v>
      </c>
      <c r="X24" s="77" t="s">
        <v>87</v>
      </c>
    </row>
    <row r="25" spans="1:24" x14ac:dyDescent="0.35">
      <c r="A25" s="78" t="s">
        <v>145</v>
      </c>
      <c r="B25" s="78">
        <v>2026</v>
      </c>
      <c r="C25" s="80" t="s">
        <v>155</v>
      </c>
      <c r="D25" s="78" t="s">
        <v>70</v>
      </c>
      <c r="E25" s="78">
        <v>4</v>
      </c>
      <c r="F25" s="78">
        <v>4</v>
      </c>
      <c r="G25" s="78">
        <v>3</v>
      </c>
      <c r="H25" s="78">
        <v>3</v>
      </c>
      <c r="I25" s="78">
        <v>4</v>
      </c>
      <c r="J25" s="78">
        <v>4</v>
      </c>
      <c r="K25" s="81">
        <f>SUM(Table1[[#This Row],[Technical Knowledge]:[Repeat job nahin aana]])/6</f>
        <v>3.6666666666666665</v>
      </c>
      <c r="L25" s="79">
        <f>IFERROR(AVERAGEIFS(Table1[Final Score],Table1[Month],Table1[[#This Row],[Month]],Table1[Year],Table1[[#This Row],[Year]],Table1[Mechanic Name],Table1[[#This Row],[Mechanic Name]]),"")</f>
        <v>3.6666666666666665</v>
      </c>
      <c r="X25" s="77" t="s">
        <v>88</v>
      </c>
    </row>
    <row r="26" spans="1:24" hidden="1" x14ac:dyDescent="0.35">
      <c r="A26" s="78" t="s">
        <v>147</v>
      </c>
      <c r="B26" s="78">
        <v>2026</v>
      </c>
      <c r="C26" s="80" t="s">
        <v>146</v>
      </c>
      <c r="D26" s="78" t="s">
        <v>81</v>
      </c>
      <c r="E26" s="78">
        <v>5</v>
      </c>
      <c r="F26" s="78">
        <v>5</v>
      </c>
      <c r="G26" s="78">
        <v>5</v>
      </c>
      <c r="H26" s="78">
        <v>5</v>
      </c>
      <c r="I26" s="78">
        <v>4</v>
      </c>
      <c r="J26" s="78">
        <v>5</v>
      </c>
      <c r="K26" s="81">
        <f>SUM(Table1[[#This Row],[Technical Knowledge]:[Repeat job nahin aana]])/6</f>
        <v>4.833333333333333</v>
      </c>
      <c r="L26" s="79">
        <f>IFERROR(AVERAGEIFS(Table1[Final Score],Table1[Month],Table1[[#This Row],[Month]],Table1[Year],Table1[[#This Row],[Year]],Table1[Mechanic Name],Table1[[#This Row],[Mechanic Name]]),"")</f>
        <v>4.6666666666666661</v>
      </c>
      <c r="X26" s="77" t="s">
        <v>89</v>
      </c>
    </row>
    <row r="27" spans="1:24" hidden="1" x14ac:dyDescent="0.35">
      <c r="A27" s="78" t="s">
        <v>147</v>
      </c>
      <c r="B27" s="78">
        <v>2026</v>
      </c>
      <c r="C27" s="80" t="s">
        <v>148</v>
      </c>
      <c r="D27" s="78" t="s">
        <v>81</v>
      </c>
      <c r="E27" s="78">
        <v>5</v>
      </c>
      <c r="F27" s="78">
        <v>5</v>
      </c>
      <c r="G27" s="78">
        <v>5</v>
      </c>
      <c r="H27" s="78">
        <v>5</v>
      </c>
      <c r="I27" s="78">
        <v>4</v>
      </c>
      <c r="J27" s="78">
        <v>5</v>
      </c>
      <c r="K27" s="81">
        <f>SUM(Table1[[#This Row],[Technical Knowledge]:[Repeat job nahin aana]])/6</f>
        <v>4.833333333333333</v>
      </c>
      <c r="L27" s="79">
        <f>IFERROR(AVERAGEIFS(Table1[Final Score],Table1[Month],Table1[[#This Row],[Month]],Table1[Year],Table1[[#This Row],[Year]],Table1[Mechanic Name],Table1[[#This Row],[Mechanic Name]]),"")</f>
        <v>4.6666666666666661</v>
      </c>
      <c r="X27" s="77" t="s">
        <v>90</v>
      </c>
    </row>
    <row r="28" spans="1:24" hidden="1" x14ac:dyDescent="0.35">
      <c r="A28" s="78" t="s">
        <v>147</v>
      </c>
      <c r="B28" s="78">
        <v>2026</v>
      </c>
      <c r="C28" s="80" t="s">
        <v>154</v>
      </c>
      <c r="D28" s="78" t="s">
        <v>81</v>
      </c>
      <c r="E28" s="78">
        <v>5</v>
      </c>
      <c r="F28" s="78">
        <v>5</v>
      </c>
      <c r="G28" s="78">
        <v>4</v>
      </c>
      <c r="H28" s="78">
        <v>4</v>
      </c>
      <c r="I28" s="78">
        <v>4</v>
      </c>
      <c r="J28" s="78">
        <v>5</v>
      </c>
      <c r="K28" s="81">
        <f>SUM(Table1[[#This Row],[Technical Knowledge]:[Repeat job nahin aana]])/6</f>
        <v>4.5</v>
      </c>
      <c r="L28" s="79">
        <f>IFERROR(AVERAGEIFS(Table1[Final Score],Table1[Month],Table1[[#This Row],[Month]],Table1[Year],Table1[[#This Row],[Year]],Table1[Mechanic Name],Table1[[#This Row],[Mechanic Name]]),"")</f>
        <v>4.6666666666666661</v>
      </c>
      <c r="X28" s="77" t="s">
        <v>91</v>
      </c>
    </row>
    <row r="29" spans="1:24" x14ac:dyDescent="0.35">
      <c r="A29" s="78" t="s">
        <v>147</v>
      </c>
      <c r="B29" s="78">
        <v>2026</v>
      </c>
      <c r="C29" s="80" t="s">
        <v>155</v>
      </c>
      <c r="D29" s="115" t="s">
        <v>81</v>
      </c>
      <c r="E29" s="78">
        <v>5</v>
      </c>
      <c r="F29" s="78">
        <v>4</v>
      </c>
      <c r="G29" s="78">
        <v>5</v>
      </c>
      <c r="H29" s="78">
        <v>4</v>
      </c>
      <c r="I29" s="78">
        <v>4</v>
      </c>
      <c r="J29" s="78">
        <v>5</v>
      </c>
      <c r="K29" s="81">
        <f>SUM(Table1[[#This Row],[Technical Knowledge]:[Repeat job nahin aana]])/6</f>
        <v>4.5</v>
      </c>
      <c r="L29" s="79">
        <f>IFERROR(AVERAGEIFS(Table1[Final Score],Table1[Month],Table1[[#This Row],[Month]],Table1[Year],Table1[[#This Row],[Year]],Table1[Mechanic Name],Table1[[#This Row],[Mechanic Name]]),"")</f>
        <v>4.6666666666666661</v>
      </c>
      <c r="X29" s="77" t="s">
        <v>92</v>
      </c>
    </row>
    <row r="30" spans="1:24" hidden="1" x14ac:dyDescent="0.35">
      <c r="A30" s="78" t="s">
        <v>147</v>
      </c>
      <c r="B30" s="78">
        <v>2026</v>
      </c>
      <c r="C30" s="80" t="s">
        <v>146</v>
      </c>
      <c r="D30" s="78" t="s">
        <v>149</v>
      </c>
      <c r="E30" s="78">
        <v>4</v>
      </c>
      <c r="F30" s="78">
        <v>5</v>
      </c>
      <c r="G30" s="78">
        <v>4</v>
      </c>
      <c r="H30" s="78">
        <v>5</v>
      </c>
      <c r="I30" s="78">
        <v>5</v>
      </c>
      <c r="J30" s="78">
        <v>4</v>
      </c>
      <c r="K30" s="81">
        <f>SUM(Table1[[#This Row],[Technical Knowledge]:[Repeat job nahin aana]])/6</f>
        <v>4.5</v>
      </c>
      <c r="L30" s="79">
        <f>IFERROR(AVERAGEIFS(Table1[Final Score],Table1[Month],Table1[[#This Row],[Month]],Table1[Year],Table1[[#This Row],[Year]],Table1[Mechanic Name],Table1[[#This Row],[Mechanic Name]]),"")</f>
        <v>3.7083333333333335</v>
      </c>
      <c r="X30" s="77" t="s">
        <v>93</v>
      </c>
    </row>
    <row r="31" spans="1:24" hidden="1" x14ac:dyDescent="0.35">
      <c r="A31" s="78" t="s">
        <v>147</v>
      </c>
      <c r="B31" s="78">
        <v>2026</v>
      </c>
      <c r="C31" s="80" t="s">
        <v>148</v>
      </c>
      <c r="D31" s="78" t="s">
        <v>149</v>
      </c>
      <c r="E31" s="78">
        <v>4</v>
      </c>
      <c r="F31" s="78">
        <v>5</v>
      </c>
      <c r="G31" s="78">
        <v>5</v>
      </c>
      <c r="H31" s="78">
        <v>4</v>
      </c>
      <c r="I31" s="78">
        <v>5</v>
      </c>
      <c r="J31" s="78">
        <v>4</v>
      </c>
      <c r="K31" s="81">
        <f>SUM(Table1[[#This Row],[Technical Knowledge]:[Repeat job nahin aana]])/6</f>
        <v>4.5</v>
      </c>
      <c r="L31" s="79">
        <f>IFERROR(AVERAGEIFS(Table1[Final Score],Table1[Month],Table1[[#This Row],[Month]],Table1[Year],Table1[[#This Row],[Year]],Table1[Mechanic Name],Table1[[#This Row],[Mechanic Name]]),"")</f>
        <v>3.7083333333333335</v>
      </c>
      <c r="X31" s="77" t="s">
        <v>149</v>
      </c>
    </row>
    <row r="32" spans="1:24" hidden="1" x14ac:dyDescent="0.35">
      <c r="A32" s="78" t="s">
        <v>147</v>
      </c>
      <c r="B32" s="78">
        <v>2026</v>
      </c>
      <c r="C32" s="80" t="s">
        <v>154</v>
      </c>
      <c r="D32" s="78" t="s">
        <v>149</v>
      </c>
      <c r="E32" s="78">
        <v>3</v>
      </c>
      <c r="F32" s="78">
        <v>3</v>
      </c>
      <c r="G32" s="78">
        <v>4</v>
      </c>
      <c r="H32" s="78">
        <v>4</v>
      </c>
      <c r="I32" s="78">
        <v>3</v>
      </c>
      <c r="J32" s="78">
        <v>3</v>
      </c>
      <c r="K32" s="81">
        <f>SUM(Table1[[#This Row],[Technical Knowledge]:[Repeat job nahin aana]])/6</f>
        <v>3.3333333333333335</v>
      </c>
      <c r="L32" s="79">
        <f>IFERROR(AVERAGEIFS(Table1[Final Score],Table1[Month],Table1[[#This Row],[Month]],Table1[Year],Table1[[#This Row],[Year]],Table1[Mechanic Name],Table1[[#This Row],[Mechanic Name]]),"")</f>
        <v>3.7083333333333335</v>
      </c>
      <c r="X32" s="77" t="s">
        <v>150</v>
      </c>
    </row>
    <row r="33" spans="1:24" x14ac:dyDescent="0.35">
      <c r="A33" s="78" t="s">
        <v>147</v>
      </c>
      <c r="B33" s="78">
        <v>2026</v>
      </c>
      <c r="C33" s="80" t="s">
        <v>155</v>
      </c>
      <c r="D33" s="78" t="s">
        <v>149</v>
      </c>
      <c r="E33" s="78">
        <v>3</v>
      </c>
      <c r="F33" s="78">
        <v>2</v>
      </c>
      <c r="G33" s="78">
        <v>3</v>
      </c>
      <c r="H33" s="78">
        <v>2</v>
      </c>
      <c r="I33" s="78">
        <v>3</v>
      </c>
      <c r="J33" s="78">
        <v>2</v>
      </c>
      <c r="K33" s="81">
        <f>SUM(Table1[[#This Row],[Technical Knowledge]:[Repeat job nahin aana]])/6</f>
        <v>2.5</v>
      </c>
      <c r="L33" s="79">
        <f>IFERROR(AVERAGEIFS(Table1[Final Score],Table1[Month],Table1[[#This Row],[Month]],Table1[Year],Table1[[#This Row],[Year]],Table1[Mechanic Name],Table1[[#This Row],[Mechanic Name]]),"")</f>
        <v>3.7083333333333335</v>
      </c>
      <c r="X33" s="77" t="s">
        <v>151</v>
      </c>
    </row>
    <row r="34" spans="1:24" hidden="1" x14ac:dyDescent="0.35">
      <c r="A34" s="78" t="s">
        <v>145</v>
      </c>
      <c r="B34" s="78">
        <v>2026</v>
      </c>
      <c r="C34" s="80" t="s">
        <v>146</v>
      </c>
      <c r="D34" s="78" t="s">
        <v>152</v>
      </c>
      <c r="E34" s="78">
        <v>5</v>
      </c>
      <c r="F34" s="78">
        <v>4</v>
      </c>
      <c r="G34" s="78">
        <v>4</v>
      </c>
      <c r="H34" s="78">
        <v>4</v>
      </c>
      <c r="I34" s="78">
        <v>4</v>
      </c>
      <c r="J34" s="78">
        <v>5</v>
      </c>
      <c r="K34" s="81">
        <f>SUM(Table1[[#This Row],[Technical Knowledge]:[Repeat job nahin aana]])/6</f>
        <v>4.333333333333333</v>
      </c>
      <c r="L34" s="79">
        <f>IFERROR(AVERAGEIFS(Table1[Final Score],Table1[Month],Table1[[#This Row],[Month]],Table1[Year],Table1[[#This Row],[Year]],Table1[Mechanic Name],Table1[[#This Row],[Mechanic Name]]),"")</f>
        <v>4.333333333333333</v>
      </c>
      <c r="X34" s="77" t="s">
        <v>152</v>
      </c>
    </row>
    <row r="35" spans="1:24" hidden="1" x14ac:dyDescent="0.35">
      <c r="A35" s="78" t="s">
        <v>147</v>
      </c>
      <c r="B35" s="78">
        <v>2026</v>
      </c>
      <c r="C35" s="80" t="s">
        <v>148</v>
      </c>
      <c r="D35" s="78" t="s">
        <v>152</v>
      </c>
      <c r="E35" s="78">
        <v>5</v>
      </c>
      <c r="F35" s="78">
        <v>5</v>
      </c>
      <c r="G35" s="78">
        <v>4</v>
      </c>
      <c r="H35" s="78">
        <v>4</v>
      </c>
      <c r="I35" s="78">
        <v>5</v>
      </c>
      <c r="J35" s="78">
        <v>5</v>
      </c>
      <c r="K35" s="81">
        <f>SUM(Table1[[#This Row],[Technical Knowledge]:[Repeat job nahin aana]])/6</f>
        <v>4.666666666666667</v>
      </c>
      <c r="L35" s="79">
        <f>IFERROR(AVERAGEIFS(Table1[Final Score],Table1[Month],Table1[[#This Row],[Month]],Table1[Year],Table1[[#This Row],[Year]],Table1[Mechanic Name],Table1[[#This Row],[Mechanic Name]]),"")</f>
        <v>3.6111111111111112</v>
      </c>
      <c r="X35" s="77" t="s">
        <v>153</v>
      </c>
    </row>
    <row r="36" spans="1:24" hidden="1" x14ac:dyDescent="0.35">
      <c r="A36" s="78" t="s">
        <v>147</v>
      </c>
      <c r="B36" s="78">
        <v>2026</v>
      </c>
      <c r="C36" s="80" t="s">
        <v>154</v>
      </c>
      <c r="D36" s="78" t="s">
        <v>152</v>
      </c>
      <c r="E36" s="78">
        <v>3</v>
      </c>
      <c r="F36" s="78">
        <v>4</v>
      </c>
      <c r="G36" s="78">
        <v>2</v>
      </c>
      <c r="H36" s="78">
        <v>3</v>
      </c>
      <c r="I36" s="78">
        <v>3</v>
      </c>
      <c r="J36" s="78">
        <v>3</v>
      </c>
      <c r="K36" s="81">
        <f>SUM(Table1[[#This Row],[Technical Knowledge]:[Repeat job nahin aana]])/6</f>
        <v>3</v>
      </c>
      <c r="L36" s="79">
        <f>IFERROR(AVERAGEIFS(Table1[Final Score],Table1[Month],Table1[[#This Row],[Month]],Table1[Year],Table1[[#This Row],[Year]],Table1[Mechanic Name],Table1[[#This Row],[Mechanic Name]]),"")</f>
        <v>3.6111111111111112</v>
      </c>
      <c r="X36" s="77" t="s">
        <v>156</v>
      </c>
    </row>
    <row r="37" spans="1:24" x14ac:dyDescent="0.35">
      <c r="A37" s="78" t="s">
        <v>147</v>
      </c>
      <c r="B37" s="78">
        <v>2026</v>
      </c>
      <c r="C37" s="80" t="s">
        <v>155</v>
      </c>
      <c r="D37" s="78" t="s">
        <v>152</v>
      </c>
      <c r="E37" s="78">
        <v>3</v>
      </c>
      <c r="F37" s="78">
        <v>2</v>
      </c>
      <c r="G37" s="78">
        <v>3</v>
      </c>
      <c r="H37" s="78">
        <v>3</v>
      </c>
      <c r="I37" s="78">
        <v>4</v>
      </c>
      <c r="J37" s="78">
        <v>4</v>
      </c>
      <c r="K37" s="81">
        <f>SUM(Table1[[#This Row],[Technical Knowledge]:[Repeat job nahin aana]])/6</f>
        <v>3.1666666666666665</v>
      </c>
      <c r="L37" s="79">
        <f>IFERROR(AVERAGEIFS(Table1[Final Score],Table1[Month],Table1[[#This Row],[Month]],Table1[Year],Table1[[#This Row],[Year]],Table1[Mechanic Name],Table1[[#This Row],[Mechanic Name]]),"")</f>
        <v>3.6111111111111112</v>
      </c>
    </row>
    <row r="38" spans="1:24" hidden="1" x14ac:dyDescent="0.35">
      <c r="A38" s="78" t="s">
        <v>147</v>
      </c>
      <c r="B38" s="78">
        <v>2026</v>
      </c>
      <c r="C38" s="80" t="s">
        <v>146</v>
      </c>
      <c r="D38" s="78" t="s">
        <v>89</v>
      </c>
      <c r="E38" s="78">
        <v>3</v>
      </c>
      <c r="F38" s="78">
        <v>4</v>
      </c>
      <c r="G38" s="78">
        <v>4</v>
      </c>
      <c r="H38" s="78">
        <v>4</v>
      </c>
      <c r="I38" s="78">
        <v>5</v>
      </c>
      <c r="J38" s="78">
        <v>4</v>
      </c>
      <c r="K38" s="81">
        <f>SUM(Table1[[#This Row],[Technical Knowledge]:[Repeat job nahin aana]])/6</f>
        <v>4</v>
      </c>
      <c r="L38" s="79">
        <f>IFERROR(AVERAGEIFS(Table1[Final Score],Table1[Month],Table1[[#This Row],[Month]],Table1[Year],Table1[[#This Row],[Year]],Table1[Mechanic Name],Table1[[#This Row],[Mechanic Name]]),"")</f>
        <v>3.8333333333333339</v>
      </c>
    </row>
    <row r="39" spans="1:24" hidden="1" x14ac:dyDescent="0.35">
      <c r="A39" s="78" t="s">
        <v>147</v>
      </c>
      <c r="B39" s="78">
        <v>2026</v>
      </c>
      <c r="C39" s="80" t="s">
        <v>148</v>
      </c>
      <c r="D39" s="78" t="s">
        <v>89</v>
      </c>
      <c r="E39" s="78">
        <v>4</v>
      </c>
      <c r="F39" s="78">
        <v>4</v>
      </c>
      <c r="G39" s="78">
        <v>4</v>
      </c>
      <c r="H39" s="78">
        <v>5</v>
      </c>
      <c r="I39" s="78">
        <v>5</v>
      </c>
      <c r="J39" s="78">
        <v>3</v>
      </c>
      <c r="K39" s="81">
        <f>SUM(Table1[[#This Row],[Technical Knowledge]:[Repeat job nahin aana]])/6</f>
        <v>4.166666666666667</v>
      </c>
      <c r="L39" s="79">
        <f>IFERROR(AVERAGEIFS(Table1[Final Score],Table1[Month],Table1[[#This Row],[Month]],Table1[Year],Table1[[#This Row],[Year]],Table1[Mechanic Name],Table1[[#This Row],[Mechanic Name]]),"")</f>
        <v>3.8333333333333339</v>
      </c>
    </row>
    <row r="40" spans="1:24" hidden="1" x14ac:dyDescent="0.35">
      <c r="A40" s="78" t="s">
        <v>147</v>
      </c>
      <c r="B40" s="78">
        <v>2026</v>
      </c>
      <c r="C40" s="80" t="s">
        <v>154</v>
      </c>
      <c r="D40" s="78" t="s">
        <v>89</v>
      </c>
      <c r="E40" s="78">
        <v>3</v>
      </c>
      <c r="F40" s="78">
        <v>4</v>
      </c>
      <c r="G40" s="78">
        <v>3</v>
      </c>
      <c r="H40" s="78">
        <v>3</v>
      </c>
      <c r="I40" s="78">
        <v>3</v>
      </c>
      <c r="J40" s="78">
        <v>4</v>
      </c>
      <c r="K40" s="81">
        <f>SUM(Table1[[#This Row],[Technical Knowledge]:[Repeat job nahin aana]])/6</f>
        <v>3.3333333333333335</v>
      </c>
      <c r="L40" s="79">
        <f>IFERROR(AVERAGEIFS(Table1[Final Score],Table1[Month],Table1[[#This Row],[Month]],Table1[Year],Table1[[#This Row],[Year]],Table1[Mechanic Name],Table1[[#This Row],[Mechanic Name]]),"")</f>
        <v>3.8333333333333339</v>
      </c>
    </row>
    <row r="41" spans="1:24" x14ac:dyDescent="0.35">
      <c r="A41" s="78" t="s">
        <v>145</v>
      </c>
      <c r="B41" s="78">
        <v>2026</v>
      </c>
      <c r="C41" s="80" t="s">
        <v>155</v>
      </c>
      <c r="D41" s="116" t="s">
        <v>89</v>
      </c>
      <c r="E41" s="78">
        <v>3</v>
      </c>
      <c r="F41" s="78">
        <v>4</v>
      </c>
      <c r="G41" s="78">
        <v>3</v>
      </c>
      <c r="H41" s="78">
        <v>2</v>
      </c>
      <c r="I41" s="78">
        <v>4</v>
      </c>
      <c r="J41" s="78">
        <v>3</v>
      </c>
      <c r="K41" s="81">
        <f>SUM(Table1[[#This Row],[Technical Knowledge]:[Repeat job nahin aana]])/6</f>
        <v>3.1666666666666665</v>
      </c>
      <c r="L41" s="79">
        <f>IFERROR(AVERAGEIFS(Table1[Final Score],Table1[Month],Table1[[#This Row],[Month]],Table1[Year],Table1[[#This Row],[Year]],Table1[Mechanic Name],Table1[[#This Row],[Mechanic Name]]),"")</f>
        <v>3.1666666666666665</v>
      </c>
    </row>
    <row r="42" spans="1:24" hidden="1" x14ac:dyDescent="0.35">
      <c r="A42" s="78" t="s">
        <v>145</v>
      </c>
      <c r="B42" s="78">
        <v>2026</v>
      </c>
      <c r="C42" s="80" t="s">
        <v>146</v>
      </c>
      <c r="D42" s="78" t="s">
        <v>153</v>
      </c>
      <c r="E42" s="78">
        <v>3</v>
      </c>
      <c r="F42" s="78">
        <v>4</v>
      </c>
      <c r="G42" s="78">
        <v>4</v>
      </c>
      <c r="H42" s="78">
        <v>5</v>
      </c>
      <c r="I42" s="78">
        <v>5</v>
      </c>
      <c r="J42" s="78">
        <v>3</v>
      </c>
      <c r="K42" s="81">
        <f>SUM(Table1[[#This Row],[Technical Knowledge]:[Repeat job nahin aana]])/6</f>
        <v>4</v>
      </c>
      <c r="L42" s="79">
        <f>IFERROR(AVERAGEIFS(Table1[Final Score],Table1[Month],Table1[[#This Row],[Month]],Table1[Year],Table1[[#This Row],[Year]],Table1[Mechanic Name],Table1[[#This Row],[Mechanic Name]]),"")</f>
        <v>3.583333333333333</v>
      </c>
    </row>
    <row r="43" spans="1:24" hidden="1" x14ac:dyDescent="0.35">
      <c r="A43" s="78" t="s">
        <v>147</v>
      </c>
      <c r="B43" s="78">
        <v>2026</v>
      </c>
      <c r="C43" s="80" t="s">
        <v>148</v>
      </c>
      <c r="D43" s="78" t="s">
        <v>153</v>
      </c>
      <c r="E43" s="78">
        <v>3</v>
      </c>
      <c r="F43" s="78">
        <v>4</v>
      </c>
      <c r="G43" s="78">
        <v>4</v>
      </c>
      <c r="H43" s="78">
        <v>5</v>
      </c>
      <c r="I43" s="78">
        <v>5</v>
      </c>
      <c r="J43" s="78">
        <v>3</v>
      </c>
      <c r="K43" s="81">
        <f>SUM(Table1[[#This Row],[Technical Knowledge]:[Repeat job nahin aana]])/6</f>
        <v>4</v>
      </c>
      <c r="L43" s="79">
        <f>IFERROR(AVERAGEIFS(Table1[Final Score],Table1[Month],Table1[[#This Row],[Month]],Table1[Year],Table1[[#This Row],[Year]],Table1[Mechanic Name],Table1[[#This Row],[Mechanic Name]]),"")</f>
        <v>3.833333333333333</v>
      </c>
    </row>
    <row r="44" spans="1:24" hidden="1" x14ac:dyDescent="0.35">
      <c r="A44" s="78" t="s">
        <v>147</v>
      </c>
      <c r="B44" s="78">
        <v>2026</v>
      </c>
      <c r="C44" s="80" t="s">
        <v>154</v>
      </c>
      <c r="D44" s="78" t="s">
        <v>153</v>
      </c>
      <c r="E44" s="78">
        <v>3</v>
      </c>
      <c r="F44" s="78">
        <v>4</v>
      </c>
      <c r="G44" s="78">
        <v>3</v>
      </c>
      <c r="H44" s="78">
        <v>4</v>
      </c>
      <c r="I44" s="78">
        <v>4</v>
      </c>
      <c r="J44" s="78">
        <v>4</v>
      </c>
      <c r="K44" s="81">
        <f>SUM(Table1[[#This Row],[Technical Knowledge]:[Repeat job nahin aana]])/6</f>
        <v>3.6666666666666665</v>
      </c>
      <c r="L44" s="79">
        <f>IFERROR(AVERAGEIFS(Table1[Final Score],Table1[Month],Table1[[#This Row],[Month]],Table1[Year],Table1[[#This Row],[Year]],Table1[Mechanic Name],Table1[[#This Row],[Mechanic Name]]),"")</f>
        <v>3.833333333333333</v>
      </c>
    </row>
    <row r="45" spans="1:24" x14ac:dyDescent="0.35">
      <c r="A45" s="78" t="s">
        <v>145</v>
      </c>
      <c r="B45" s="78">
        <v>2026</v>
      </c>
      <c r="C45" s="80" t="s">
        <v>155</v>
      </c>
      <c r="D45" s="78" t="s">
        <v>153</v>
      </c>
      <c r="E45" s="78">
        <v>3</v>
      </c>
      <c r="F45" s="78">
        <v>4</v>
      </c>
      <c r="G45" s="78">
        <v>3</v>
      </c>
      <c r="H45" s="78">
        <v>3</v>
      </c>
      <c r="I45" s="78">
        <v>2</v>
      </c>
      <c r="J45" s="78">
        <v>4</v>
      </c>
      <c r="K45" s="81">
        <f>SUM(Table1[[#This Row],[Technical Knowledge]:[Repeat job nahin aana]])/6</f>
        <v>3.1666666666666665</v>
      </c>
      <c r="L45" s="79">
        <f>IFERROR(AVERAGEIFS(Table1[Final Score],Table1[Month],Table1[[#This Row],[Month]],Table1[Year],Table1[[#This Row],[Year]],Table1[Mechanic Name],Table1[[#This Row],[Mechanic Name]]),"")</f>
        <v>3.583333333333333</v>
      </c>
    </row>
    <row r="46" spans="1:24" hidden="1" x14ac:dyDescent="0.35">
      <c r="A46" s="78" t="s">
        <v>147</v>
      </c>
      <c r="B46" s="78">
        <v>2026</v>
      </c>
      <c r="C46" s="80" t="s">
        <v>146</v>
      </c>
      <c r="D46" s="78" t="s">
        <v>86</v>
      </c>
      <c r="E46" s="78">
        <v>4</v>
      </c>
      <c r="F46" s="78">
        <v>5</v>
      </c>
      <c r="G46" s="78">
        <v>4</v>
      </c>
      <c r="H46" s="78">
        <v>5</v>
      </c>
      <c r="I46" s="78">
        <v>5</v>
      </c>
      <c r="J46" s="78">
        <v>4</v>
      </c>
      <c r="K46" s="81">
        <f>SUM(Table1[[#This Row],[Technical Knowledge]:[Repeat job nahin aana]])/6</f>
        <v>4.5</v>
      </c>
      <c r="L46" s="79">
        <f>IFERROR(AVERAGEIFS(Table1[Final Score],Table1[Month],Table1[[#This Row],[Month]],Table1[Year],Table1[[#This Row],[Year]],Table1[Mechanic Name],Table1[[#This Row],[Mechanic Name]]),"")</f>
        <v>4.25</v>
      </c>
    </row>
    <row r="47" spans="1:24" hidden="1" x14ac:dyDescent="0.35">
      <c r="A47" s="78" t="s">
        <v>147</v>
      </c>
      <c r="B47" s="78">
        <v>2026</v>
      </c>
      <c r="C47" s="80" t="s">
        <v>148</v>
      </c>
      <c r="D47" s="78" t="s">
        <v>86</v>
      </c>
      <c r="E47" s="78">
        <v>4</v>
      </c>
      <c r="F47" s="78">
        <v>5</v>
      </c>
      <c r="G47" s="78">
        <v>4</v>
      </c>
      <c r="H47" s="78">
        <v>5</v>
      </c>
      <c r="I47" s="78">
        <v>5</v>
      </c>
      <c r="J47" s="78">
        <v>4</v>
      </c>
      <c r="K47" s="81">
        <f>SUM(Table1[[#This Row],[Technical Knowledge]:[Repeat job nahin aana]])/6</f>
        <v>4.5</v>
      </c>
      <c r="L47" s="79">
        <f>IFERROR(AVERAGEIFS(Table1[Final Score],Table1[Month],Table1[[#This Row],[Month]],Table1[Year],Table1[[#This Row],[Year]],Table1[Mechanic Name],Table1[[#This Row],[Mechanic Name]]),"")</f>
        <v>4.25</v>
      </c>
    </row>
    <row r="48" spans="1:24" hidden="1" x14ac:dyDescent="0.35">
      <c r="A48" s="78" t="s">
        <v>147</v>
      </c>
      <c r="B48" s="78">
        <v>2026</v>
      </c>
      <c r="C48" s="80" t="s">
        <v>154</v>
      </c>
      <c r="D48" s="78" t="s">
        <v>86</v>
      </c>
      <c r="E48" s="78">
        <v>5</v>
      </c>
      <c r="F48" s="78">
        <v>5</v>
      </c>
      <c r="G48" s="78">
        <v>4</v>
      </c>
      <c r="H48" s="78">
        <v>4</v>
      </c>
      <c r="I48" s="78">
        <v>3</v>
      </c>
      <c r="J48" s="78">
        <v>4</v>
      </c>
      <c r="K48" s="81">
        <f>SUM(Table1[[#This Row],[Technical Knowledge]:[Repeat job nahin aana]])/6</f>
        <v>4.166666666666667</v>
      </c>
      <c r="L48" s="79">
        <f>IFERROR(AVERAGEIFS(Table1[Final Score],Table1[Month],Table1[[#This Row],[Month]],Table1[Year],Table1[[#This Row],[Year]],Table1[Mechanic Name],Table1[[#This Row],[Mechanic Name]]),"")</f>
        <v>4.25</v>
      </c>
    </row>
    <row r="49" spans="1:12" x14ac:dyDescent="0.35">
      <c r="A49" s="78" t="s">
        <v>147</v>
      </c>
      <c r="B49" s="78">
        <v>2026</v>
      </c>
      <c r="C49" s="80" t="s">
        <v>155</v>
      </c>
      <c r="D49" s="115" t="s">
        <v>86</v>
      </c>
      <c r="E49" s="78">
        <v>5</v>
      </c>
      <c r="F49" s="78">
        <v>4</v>
      </c>
      <c r="G49" s="78">
        <v>3</v>
      </c>
      <c r="H49" s="78">
        <v>4</v>
      </c>
      <c r="I49" s="78">
        <v>3</v>
      </c>
      <c r="J49" s="78">
        <v>4</v>
      </c>
      <c r="K49" s="81">
        <f>SUM(Table1[[#This Row],[Technical Knowledge]:[Repeat job nahin aana]])/6</f>
        <v>3.8333333333333335</v>
      </c>
      <c r="L49" s="79">
        <f>IFERROR(AVERAGEIFS(Table1[Final Score],Table1[Month],Table1[[#This Row],[Month]],Table1[Year],Table1[[#This Row],[Year]],Table1[Mechanic Name],Table1[[#This Row],[Mechanic Name]]),"")</f>
        <v>4.25</v>
      </c>
    </row>
    <row r="50" spans="1:12" hidden="1" x14ac:dyDescent="0.35">
      <c r="A50" s="78" t="s">
        <v>147</v>
      </c>
      <c r="B50" s="78">
        <v>2026</v>
      </c>
      <c r="C50" s="80" t="s">
        <v>146</v>
      </c>
      <c r="D50" s="78" t="s">
        <v>82</v>
      </c>
      <c r="E50" s="78">
        <v>5</v>
      </c>
      <c r="F50" s="78">
        <v>5</v>
      </c>
      <c r="G50" s="78">
        <v>5</v>
      </c>
      <c r="H50" s="78">
        <v>5</v>
      </c>
      <c r="I50" s="78">
        <v>5</v>
      </c>
      <c r="J50" s="78">
        <v>5</v>
      </c>
      <c r="K50" s="81">
        <f>SUM(Table1[[#This Row],[Technical Knowledge]:[Repeat job nahin aana]])/6</f>
        <v>5</v>
      </c>
      <c r="L50" s="79">
        <f>IFERROR(AVERAGEIFS(Table1[Final Score],Table1[Month],Table1[[#This Row],[Month]],Table1[Year],Table1[[#This Row],[Year]],Table1[Mechanic Name],Table1[[#This Row],[Mechanic Name]]),"")</f>
        <v>4.7222222222222223</v>
      </c>
    </row>
    <row r="51" spans="1:12" hidden="1" x14ac:dyDescent="0.35">
      <c r="A51" s="78" t="s">
        <v>145</v>
      </c>
      <c r="B51" s="78">
        <v>2026</v>
      </c>
      <c r="C51" s="80" t="s">
        <v>148</v>
      </c>
      <c r="D51" s="78" t="s">
        <v>82</v>
      </c>
      <c r="E51" s="78">
        <v>5</v>
      </c>
      <c r="F51" s="78">
        <v>5</v>
      </c>
      <c r="G51" s="78">
        <v>4</v>
      </c>
      <c r="H51" s="78">
        <v>4</v>
      </c>
      <c r="I51" s="78">
        <v>5</v>
      </c>
      <c r="J51" s="78">
        <v>5</v>
      </c>
      <c r="K51" s="81">
        <f>SUM(Table1[[#This Row],[Technical Knowledge]:[Repeat job nahin aana]])/6</f>
        <v>4.666666666666667</v>
      </c>
      <c r="L51" s="79">
        <f>IFERROR(AVERAGEIFS(Table1[Final Score],Table1[Month],Table1[[#This Row],[Month]],Table1[Year],Table1[[#This Row],[Year]],Table1[Mechanic Name],Table1[[#This Row],[Mechanic Name]]),"")</f>
        <v>4.666666666666667</v>
      </c>
    </row>
    <row r="52" spans="1:12" hidden="1" x14ac:dyDescent="0.35">
      <c r="A52" s="78" t="s">
        <v>147</v>
      </c>
      <c r="B52" s="78">
        <v>2026</v>
      </c>
      <c r="C52" s="80" t="s">
        <v>154</v>
      </c>
      <c r="D52" s="78" t="s">
        <v>82</v>
      </c>
      <c r="E52" s="78">
        <v>5</v>
      </c>
      <c r="F52" s="78">
        <v>5</v>
      </c>
      <c r="G52" s="78">
        <v>4</v>
      </c>
      <c r="H52" s="78">
        <v>4</v>
      </c>
      <c r="I52" s="78">
        <v>4</v>
      </c>
      <c r="J52" s="78">
        <v>5</v>
      </c>
      <c r="K52" s="81">
        <f>SUM(Table1[[#This Row],[Technical Knowledge]:[Repeat job nahin aana]])/6</f>
        <v>4.5</v>
      </c>
      <c r="L52" s="79">
        <f>IFERROR(AVERAGEIFS(Table1[Final Score],Table1[Month],Table1[[#This Row],[Month]],Table1[Year],Table1[[#This Row],[Year]],Table1[Mechanic Name],Table1[[#This Row],[Mechanic Name]]),"")</f>
        <v>4.7222222222222223</v>
      </c>
    </row>
    <row r="53" spans="1:12" x14ac:dyDescent="0.35">
      <c r="A53" s="78" t="s">
        <v>147</v>
      </c>
      <c r="B53" s="78">
        <v>2026</v>
      </c>
      <c r="C53" s="80" t="s">
        <v>155</v>
      </c>
      <c r="D53" s="115" t="s">
        <v>82</v>
      </c>
      <c r="E53" s="78">
        <v>5</v>
      </c>
      <c r="F53" s="78">
        <v>5</v>
      </c>
      <c r="G53" s="78">
        <v>4</v>
      </c>
      <c r="H53" s="78">
        <v>5</v>
      </c>
      <c r="I53" s="78">
        <v>4</v>
      </c>
      <c r="J53" s="78">
        <v>5</v>
      </c>
      <c r="K53" s="81">
        <f>SUM(Table1[[#This Row],[Technical Knowledge]:[Repeat job nahin aana]])/6</f>
        <v>4.666666666666667</v>
      </c>
      <c r="L53" s="79">
        <f>IFERROR(AVERAGEIFS(Table1[Final Score],Table1[Month],Table1[[#This Row],[Month]],Table1[Year],Table1[[#This Row],[Year]],Table1[Mechanic Name],Table1[[#This Row],[Mechanic Name]]),"")</f>
        <v>4.7222222222222223</v>
      </c>
    </row>
    <row r="54" spans="1:12" hidden="1" x14ac:dyDescent="0.35">
      <c r="A54" s="78" t="s">
        <v>147</v>
      </c>
      <c r="B54" s="78">
        <v>2026</v>
      </c>
      <c r="C54" s="80" t="s">
        <v>146</v>
      </c>
      <c r="D54" s="78" t="s">
        <v>90</v>
      </c>
      <c r="E54" s="78">
        <v>5</v>
      </c>
      <c r="F54" s="78">
        <v>5</v>
      </c>
      <c r="G54" s="78">
        <v>4</v>
      </c>
      <c r="H54" s="78">
        <v>5</v>
      </c>
      <c r="I54" s="78">
        <v>5</v>
      </c>
      <c r="J54" s="78">
        <v>5</v>
      </c>
      <c r="K54" s="81">
        <f>SUM(Table1[[#This Row],[Technical Knowledge]:[Repeat job nahin aana]])/6</f>
        <v>4.833333333333333</v>
      </c>
      <c r="L54" s="79">
        <f>IFERROR(AVERAGEIFS(Table1[Final Score],Table1[Month],Table1[[#This Row],[Month]],Table1[Year],Table1[[#This Row],[Year]],Table1[Mechanic Name],Table1[[#This Row],[Mechanic Name]]),"")</f>
        <v>4.7916666666666661</v>
      </c>
    </row>
    <row r="55" spans="1:12" hidden="1" x14ac:dyDescent="0.35">
      <c r="A55" s="78" t="s">
        <v>147</v>
      </c>
      <c r="B55" s="78">
        <v>2026</v>
      </c>
      <c r="C55" s="80" t="s">
        <v>148</v>
      </c>
      <c r="D55" s="78" t="s">
        <v>90</v>
      </c>
      <c r="E55" s="78">
        <v>5</v>
      </c>
      <c r="F55" s="78">
        <v>5</v>
      </c>
      <c r="G55" s="78">
        <v>5</v>
      </c>
      <c r="H55" s="78">
        <v>4</v>
      </c>
      <c r="I55" s="78">
        <v>5</v>
      </c>
      <c r="J55" s="78">
        <v>5</v>
      </c>
      <c r="K55" s="81">
        <f>SUM(Table1[[#This Row],[Technical Knowledge]:[Repeat job nahin aana]])/6</f>
        <v>4.833333333333333</v>
      </c>
      <c r="L55" s="79">
        <f>IFERROR(AVERAGEIFS(Table1[Final Score],Table1[Month],Table1[[#This Row],[Month]],Table1[Year],Table1[[#This Row],[Year]],Table1[Mechanic Name],Table1[[#This Row],[Mechanic Name]]),"")</f>
        <v>4.7916666666666661</v>
      </c>
    </row>
    <row r="56" spans="1:12" hidden="1" x14ac:dyDescent="0.35">
      <c r="A56" s="78" t="s">
        <v>147</v>
      </c>
      <c r="B56" s="78">
        <v>2026</v>
      </c>
      <c r="C56" s="80" t="s">
        <v>154</v>
      </c>
      <c r="D56" s="78" t="s">
        <v>90</v>
      </c>
      <c r="E56" s="78">
        <v>5</v>
      </c>
      <c r="F56" s="78">
        <v>5</v>
      </c>
      <c r="G56" s="78">
        <v>4</v>
      </c>
      <c r="H56" s="78">
        <v>5</v>
      </c>
      <c r="I56" s="78">
        <v>4</v>
      </c>
      <c r="J56" s="78">
        <v>5</v>
      </c>
      <c r="K56" s="81">
        <f>SUM(Table1[[#This Row],[Technical Knowledge]:[Repeat job nahin aana]])/6</f>
        <v>4.666666666666667</v>
      </c>
      <c r="L56" s="79">
        <f>IFERROR(AVERAGEIFS(Table1[Final Score],Table1[Month],Table1[[#This Row],[Month]],Table1[Year],Table1[[#This Row],[Year]],Table1[Mechanic Name],Table1[[#This Row],[Mechanic Name]]),"")</f>
        <v>4.7916666666666661</v>
      </c>
    </row>
    <row r="57" spans="1:12" x14ac:dyDescent="0.35">
      <c r="A57" s="78" t="s">
        <v>147</v>
      </c>
      <c r="B57" s="78">
        <v>2026</v>
      </c>
      <c r="C57" s="80" t="s">
        <v>155</v>
      </c>
      <c r="D57" s="115" t="s">
        <v>90</v>
      </c>
      <c r="E57" s="78">
        <v>5</v>
      </c>
      <c r="F57" s="78">
        <v>5</v>
      </c>
      <c r="G57" s="78">
        <v>4</v>
      </c>
      <c r="H57" s="78">
        <v>5</v>
      </c>
      <c r="I57" s="78">
        <v>5</v>
      </c>
      <c r="J57" s="78">
        <v>5</v>
      </c>
      <c r="K57" s="81">
        <f>SUM(Table1[[#This Row],[Technical Knowledge]:[Repeat job nahin aana]])/6</f>
        <v>4.833333333333333</v>
      </c>
      <c r="L57" s="79">
        <f>IFERROR(AVERAGEIFS(Table1[Final Score],Table1[Month],Table1[[#This Row],[Month]],Table1[Year],Table1[[#This Row],[Year]],Table1[Mechanic Name],Table1[[#This Row],[Mechanic Name]]),"")</f>
        <v>4.7916666666666661</v>
      </c>
    </row>
    <row r="58" spans="1:12" hidden="1" x14ac:dyDescent="0.35">
      <c r="A58" s="78" t="s">
        <v>147</v>
      </c>
      <c r="B58" s="78">
        <v>2026</v>
      </c>
      <c r="C58" s="80" t="s">
        <v>146</v>
      </c>
      <c r="D58" s="78" t="s">
        <v>80</v>
      </c>
      <c r="E58" s="78">
        <v>5</v>
      </c>
      <c r="F58" s="78">
        <v>5</v>
      </c>
      <c r="G58" s="78">
        <v>4</v>
      </c>
      <c r="H58" s="78">
        <v>5</v>
      </c>
      <c r="I58" s="78">
        <v>4</v>
      </c>
      <c r="J58" s="78">
        <v>5</v>
      </c>
      <c r="K58" s="81">
        <f>SUM(Table1[[#This Row],[Technical Knowledge]:[Repeat job nahin aana]])/6</f>
        <v>4.666666666666667</v>
      </c>
      <c r="L58" s="79">
        <f>IFERROR(AVERAGEIFS(Table1[Final Score],Table1[Month],Table1[[#This Row],[Month]],Table1[Year],Table1[[#This Row],[Year]],Table1[Mechanic Name],Table1[[#This Row],[Mechanic Name]]),"")</f>
        <v>4.541666666666667</v>
      </c>
    </row>
    <row r="59" spans="1:12" hidden="1" x14ac:dyDescent="0.35">
      <c r="A59" s="78" t="s">
        <v>147</v>
      </c>
      <c r="B59" s="78">
        <v>2026</v>
      </c>
      <c r="C59" s="80" t="s">
        <v>148</v>
      </c>
      <c r="D59" s="78" t="s">
        <v>80</v>
      </c>
      <c r="E59" s="78">
        <v>5</v>
      </c>
      <c r="F59" s="78">
        <v>5</v>
      </c>
      <c r="G59" s="78">
        <v>5</v>
      </c>
      <c r="H59" s="78">
        <v>4</v>
      </c>
      <c r="I59" s="78">
        <v>4</v>
      </c>
      <c r="J59" s="78">
        <v>5</v>
      </c>
      <c r="K59" s="81">
        <f>SUM(Table1[[#This Row],[Technical Knowledge]:[Repeat job nahin aana]])/6</f>
        <v>4.666666666666667</v>
      </c>
      <c r="L59" s="79">
        <f>IFERROR(AVERAGEIFS(Table1[Final Score],Table1[Month],Table1[[#This Row],[Month]],Table1[Year],Table1[[#This Row],[Year]],Table1[Mechanic Name],Table1[[#This Row],[Mechanic Name]]),"")</f>
        <v>4.541666666666667</v>
      </c>
    </row>
    <row r="60" spans="1:12" hidden="1" x14ac:dyDescent="0.35">
      <c r="A60" s="78" t="s">
        <v>147</v>
      </c>
      <c r="B60" s="78">
        <v>2026</v>
      </c>
      <c r="C60" s="80" t="s">
        <v>154</v>
      </c>
      <c r="D60" s="78" t="s">
        <v>80</v>
      </c>
      <c r="E60" s="78">
        <v>5</v>
      </c>
      <c r="F60" s="78">
        <v>5</v>
      </c>
      <c r="G60" s="78">
        <v>4</v>
      </c>
      <c r="H60" s="78">
        <v>3</v>
      </c>
      <c r="I60" s="78">
        <v>4</v>
      </c>
      <c r="J60" s="78">
        <v>4</v>
      </c>
      <c r="K60" s="81">
        <f>SUM(Table1[[#This Row],[Technical Knowledge]:[Repeat job nahin aana]])/6</f>
        <v>4.166666666666667</v>
      </c>
      <c r="L60" s="79">
        <f>IFERROR(AVERAGEIFS(Table1[Final Score],Table1[Month],Table1[[#This Row],[Month]],Table1[Year],Table1[[#This Row],[Year]],Table1[Mechanic Name],Table1[[#This Row],[Mechanic Name]]),"")</f>
        <v>4.541666666666667</v>
      </c>
    </row>
    <row r="61" spans="1:12" x14ac:dyDescent="0.35">
      <c r="A61" s="78" t="s">
        <v>147</v>
      </c>
      <c r="B61" s="78">
        <v>2026</v>
      </c>
      <c r="C61" s="80" t="s">
        <v>155</v>
      </c>
      <c r="D61" s="115" t="s">
        <v>80</v>
      </c>
      <c r="E61" s="78">
        <v>5</v>
      </c>
      <c r="F61" s="78">
        <v>5</v>
      </c>
      <c r="G61" s="78">
        <v>4</v>
      </c>
      <c r="H61" s="78">
        <v>5</v>
      </c>
      <c r="I61" s="78">
        <v>4</v>
      </c>
      <c r="J61" s="78">
        <v>5</v>
      </c>
      <c r="K61" s="81">
        <f>SUM(Table1[[#This Row],[Technical Knowledge]:[Repeat job nahin aana]])/6</f>
        <v>4.666666666666667</v>
      </c>
      <c r="L61" s="79">
        <f>IFERROR(AVERAGEIFS(Table1[Final Score],Table1[Month],Table1[[#This Row],[Month]],Table1[Year],Table1[[#This Row],[Year]],Table1[Mechanic Name],Table1[[#This Row],[Mechanic Name]]),"")</f>
        <v>4.541666666666667</v>
      </c>
    </row>
    <row r="62" spans="1:12" hidden="1" x14ac:dyDescent="0.35">
      <c r="A62" s="78" t="s">
        <v>147</v>
      </c>
      <c r="B62" s="78">
        <v>2026</v>
      </c>
      <c r="C62" s="80" t="s">
        <v>146</v>
      </c>
      <c r="D62" s="78" t="s">
        <v>156</v>
      </c>
      <c r="E62" s="78">
        <v>4</v>
      </c>
      <c r="F62" s="78">
        <v>5</v>
      </c>
      <c r="G62" s="78">
        <v>5</v>
      </c>
      <c r="H62" s="78">
        <v>5</v>
      </c>
      <c r="I62" s="78">
        <v>4</v>
      </c>
      <c r="J62" s="78">
        <v>5</v>
      </c>
      <c r="K62" s="81">
        <f>SUM(Table1[[#This Row],[Technical Knowledge]:[Repeat job nahin aana]])/6</f>
        <v>4.666666666666667</v>
      </c>
      <c r="L62" s="79">
        <f>IFERROR(AVERAGEIFS(Table1[Final Score],Table1[Month],Table1[[#This Row],[Month]],Table1[Year],Table1[[#This Row],[Year]],Table1[Mechanic Name],Table1[[#This Row],[Mechanic Name]]),"")</f>
        <v>4.0833333333333339</v>
      </c>
    </row>
    <row r="63" spans="1:12" hidden="1" x14ac:dyDescent="0.35">
      <c r="A63" s="78" t="s">
        <v>147</v>
      </c>
      <c r="B63" s="78">
        <v>2026</v>
      </c>
      <c r="C63" s="80" t="s">
        <v>148</v>
      </c>
      <c r="D63" s="78" t="s">
        <v>156</v>
      </c>
      <c r="E63" s="78">
        <v>5</v>
      </c>
      <c r="F63" s="78">
        <v>4</v>
      </c>
      <c r="G63" s="78">
        <v>4</v>
      </c>
      <c r="H63" s="78">
        <v>5</v>
      </c>
      <c r="I63" s="78">
        <v>5</v>
      </c>
      <c r="J63" s="78">
        <v>5</v>
      </c>
      <c r="K63" s="81">
        <f>SUM(Table1[[#This Row],[Technical Knowledge]:[Repeat job nahin aana]])/6</f>
        <v>4.666666666666667</v>
      </c>
      <c r="L63" s="79">
        <f>IFERROR(AVERAGEIFS(Table1[Final Score],Table1[Month],Table1[[#This Row],[Month]],Table1[Year],Table1[[#This Row],[Year]],Table1[Mechanic Name],Table1[[#This Row],[Mechanic Name]]),"")</f>
        <v>4.0833333333333339</v>
      </c>
    </row>
    <row r="64" spans="1:12" hidden="1" x14ac:dyDescent="0.35">
      <c r="A64" s="78" t="s">
        <v>147</v>
      </c>
      <c r="B64" s="78">
        <v>2026</v>
      </c>
      <c r="C64" s="80" t="s">
        <v>154</v>
      </c>
      <c r="D64" s="78" t="s">
        <v>156</v>
      </c>
      <c r="E64" s="78">
        <v>3</v>
      </c>
      <c r="F64" s="78">
        <v>4</v>
      </c>
      <c r="G64" s="78">
        <v>3</v>
      </c>
      <c r="H64" s="78">
        <v>4</v>
      </c>
      <c r="I64" s="78">
        <v>4</v>
      </c>
      <c r="J64" s="78">
        <v>3</v>
      </c>
      <c r="K64" s="81">
        <f>SUM(Table1[[#This Row],[Technical Knowledge]:[Repeat job nahin aana]])/6</f>
        <v>3.5</v>
      </c>
      <c r="L64" s="79">
        <f>IFERROR(AVERAGEIFS(Table1[Final Score],Table1[Month],Table1[[#This Row],[Month]],Table1[Year],Table1[[#This Row],[Year]],Table1[Mechanic Name],Table1[[#This Row],[Mechanic Name]]),"")</f>
        <v>4.0833333333333339</v>
      </c>
    </row>
    <row r="65" spans="1:12" x14ac:dyDescent="0.35">
      <c r="A65" s="78" t="s">
        <v>147</v>
      </c>
      <c r="B65" s="78">
        <v>2026</v>
      </c>
      <c r="C65" s="80" t="s">
        <v>155</v>
      </c>
      <c r="D65" s="115" t="s">
        <v>156</v>
      </c>
      <c r="E65" s="78">
        <v>4</v>
      </c>
      <c r="F65" s="78">
        <v>4</v>
      </c>
      <c r="G65" s="78">
        <v>3</v>
      </c>
      <c r="H65" s="78">
        <v>4</v>
      </c>
      <c r="I65" s="78">
        <v>3</v>
      </c>
      <c r="J65" s="78">
        <v>3</v>
      </c>
      <c r="K65" s="81">
        <f>SUM(Table1[[#This Row],[Technical Knowledge]:[Repeat job nahin aana]])/6</f>
        <v>3.5</v>
      </c>
      <c r="L65" s="79">
        <f>IFERROR(AVERAGEIFS(Table1[Final Score],Table1[Month],Table1[[#This Row],[Month]],Table1[Year],Table1[[#This Row],[Year]],Table1[Mechanic Name],Table1[[#This Row],[Mechanic Name]]),"")</f>
        <v>4.0833333333333339</v>
      </c>
    </row>
    <row r="66" spans="1:12" hidden="1" x14ac:dyDescent="0.35">
      <c r="A66" s="78" t="s">
        <v>147</v>
      </c>
      <c r="B66" s="78">
        <v>2026</v>
      </c>
      <c r="C66" s="80" t="s">
        <v>146</v>
      </c>
      <c r="D66" s="78" t="s">
        <v>79</v>
      </c>
      <c r="E66" s="78">
        <v>5</v>
      </c>
      <c r="F66" s="78">
        <v>5</v>
      </c>
      <c r="G66" s="78">
        <v>4</v>
      </c>
      <c r="H66" s="78">
        <v>5</v>
      </c>
      <c r="I66" s="78">
        <v>4</v>
      </c>
      <c r="J66" s="78">
        <v>5</v>
      </c>
      <c r="K66" s="81">
        <f>SUM(Table1[[#This Row],[Technical Knowledge]:[Repeat job nahin aana]])/6</f>
        <v>4.666666666666667</v>
      </c>
      <c r="L66" s="79">
        <f>IFERROR(AVERAGEIFS(Table1[Final Score],Table1[Month],Table1[[#This Row],[Month]],Table1[Year],Table1[[#This Row],[Year]],Table1[Mechanic Name],Table1[[#This Row],[Mechanic Name]]),"")</f>
        <v>4.708333333333333</v>
      </c>
    </row>
    <row r="67" spans="1:12" hidden="1" x14ac:dyDescent="0.35">
      <c r="A67" s="78" t="s">
        <v>147</v>
      </c>
      <c r="B67" s="78">
        <v>2026</v>
      </c>
      <c r="C67" s="80" t="s">
        <v>148</v>
      </c>
      <c r="D67" s="78" t="s">
        <v>79</v>
      </c>
      <c r="E67" s="78">
        <v>5</v>
      </c>
      <c r="F67" s="78">
        <v>5</v>
      </c>
      <c r="G67" s="78">
        <v>5</v>
      </c>
      <c r="H67" s="78">
        <v>4</v>
      </c>
      <c r="I67" s="78">
        <v>5</v>
      </c>
      <c r="J67" s="78">
        <v>5</v>
      </c>
      <c r="K67" s="81">
        <f>SUM(Table1[[#This Row],[Technical Knowledge]:[Repeat job nahin aana]])/6</f>
        <v>4.833333333333333</v>
      </c>
      <c r="L67" s="79">
        <f>IFERROR(AVERAGEIFS(Table1[Final Score],Table1[Month],Table1[[#This Row],[Month]],Table1[Year],Table1[[#This Row],[Year]],Table1[Mechanic Name],Table1[[#This Row],[Mechanic Name]]),"")</f>
        <v>4.708333333333333</v>
      </c>
    </row>
    <row r="68" spans="1:12" hidden="1" x14ac:dyDescent="0.35">
      <c r="A68" s="78" t="s">
        <v>147</v>
      </c>
      <c r="B68" s="78">
        <v>2026</v>
      </c>
      <c r="C68" s="80" t="s">
        <v>154</v>
      </c>
      <c r="D68" s="78" t="s">
        <v>79</v>
      </c>
      <c r="E68" s="78">
        <v>5</v>
      </c>
      <c r="F68" s="78">
        <v>5</v>
      </c>
      <c r="G68" s="78">
        <v>4</v>
      </c>
      <c r="H68" s="78">
        <v>4</v>
      </c>
      <c r="I68" s="78">
        <v>4</v>
      </c>
      <c r="J68" s="78">
        <v>5</v>
      </c>
      <c r="K68" s="81">
        <f>SUM(Table1[[#This Row],[Technical Knowledge]:[Repeat job nahin aana]])/6</f>
        <v>4.5</v>
      </c>
      <c r="L68" s="79">
        <f>IFERROR(AVERAGEIFS(Table1[Final Score],Table1[Month],Table1[[#This Row],[Month]],Table1[Year],Table1[[#This Row],[Year]],Table1[Mechanic Name],Table1[[#This Row],[Mechanic Name]]),"")</f>
        <v>4.708333333333333</v>
      </c>
    </row>
    <row r="69" spans="1:12" x14ac:dyDescent="0.35">
      <c r="A69" s="78" t="s">
        <v>147</v>
      </c>
      <c r="B69" s="78">
        <v>2026</v>
      </c>
      <c r="C69" s="80" t="s">
        <v>155</v>
      </c>
      <c r="D69" s="115" t="s">
        <v>79</v>
      </c>
      <c r="E69" s="78">
        <v>5</v>
      </c>
      <c r="F69" s="78">
        <v>5</v>
      </c>
      <c r="G69" s="78">
        <v>4</v>
      </c>
      <c r="H69" s="78">
        <v>5</v>
      </c>
      <c r="I69" s="78">
        <v>5</v>
      </c>
      <c r="J69" s="78">
        <v>5</v>
      </c>
      <c r="K69" s="81">
        <f>SUM(Table1[[#This Row],[Technical Knowledge]:[Repeat job nahin aana]])/6</f>
        <v>4.833333333333333</v>
      </c>
      <c r="L69" s="79">
        <f>IFERROR(AVERAGEIFS(Table1[Final Score],Table1[Month],Table1[[#This Row],[Month]],Table1[Year],Table1[[#This Row],[Year]],Table1[Mechanic Name],Table1[[#This Row],[Mechanic Name]]),"")</f>
        <v>4.708333333333333</v>
      </c>
    </row>
    <row r="70" spans="1:12" hidden="1" x14ac:dyDescent="0.35">
      <c r="A70" s="78" t="s">
        <v>147</v>
      </c>
      <c r="B70" s="78">
        <v>2026</v>
      </c>
      <c r="C70" s="80" t="s">
        <v>146</v>
      </c>
      <c r="D70" s="78" t="s">
        <v>68</v>
      </c>
      <c r="E70" s="78">
        <v>5</v>
      </c>
      <c r="F70" s="78">
        <v>5</v>
      </c>
      <c r="G70" s="78">
        <v>5</v>
      </c>
      <c r="H70" s="78">
        <v>4</v>
      </c>
      <c r="I70" s="78">
        <v>5</v>
      </c>
      <c r="J70" s="78">
        <v>5</v>
      </c>
      <c r="K70" s="81">
        <f>SUM(Table1[[#This Row],[Technical Knowledge]:[Repeat job nahin aana]])/6</f>
        <v>4.833333333333333</v>
      </c>
      <c r="L70" s="79">
        <f>IFERROR(AVERAGEIFS(Table1[Final Score],Table1[Month],Table1[[#This Row],[Month]],Table1[Year],Table1[[#This Row],[Year]],Table1[Mechanic Name],Table1[[#This Row],[Mechanic Name]]),"")</f>
        <v>4.375</v>
      </c>
    </row>
    <row r="71" spans="1:12" hidden="1" x14ac:dyDescent="0.35">
      <c r="A71" s="78" t="s">
        <v>147</v>
      </c>
      <c r="B71" s="78">
        <v>2026</v>
      </c>
      <c r="C71" s="80" t="s">
        <v>148</v>
      </c>
      <c r="D71" s="78" t="s">
        <v>68</v>
      </c>
      <c r="E71" s="78">
        <v>5</v>
      </c>
      <c r="F71" s="78">
        <v>5</v>
      </c>
      <c r="G71" s="78">
        <v>4</v>
      </c>
      <c r="H71" s="78">
        <v>5</v>
      </c>
      <c r="I71" s="78">
        <v>5</v>
      </c>
      <c r="J71" s="78">
        <v>5</v>
      </c>
      <c r="K71" s="81">
        <f>SUM(Table1[[#This Row],[Technical Knowledge]:[Repeat job nahin aana]])/6</f>
        <v>4.833333333333333</v>
      </c>
      <c r="L71" s="79">
        <f>IFERROR(AVERAGEIFS(Table1[Final Score],Table1[Month],Table1[[#This Row],[Month]],Table1[Year],Table1[[#This Row],[Year]],Table1[Mechanic Name],Table1[[#This Row],[Mechanic Name]]),"")</f>
        <v>4.375</v>
      </c>
    </row>
    <row r="72" spans="1:12" hidden="1" x14ac:dyDescent="0.35">
      <c r="A72" s="78" t="s">
        <v>147</v>
      </c>
      <c r="B72" s="78">
        <v>2026</v>
      </c>
      <c r="C72" s="80" t="s">
        <v>154</v>
      </c>
      <c r="D72" s="78" t="s">
        <v>68</v>
      </c>
      <c r="E72" s="78">
        <v>4</v>
      </c>
      <c r="F72" s="78">
        <v>3</v>
      </c>
      <c r="G72" s="78">
        <v>4</v>
      </c>
      <c r="H72" s="78">
        <v>3</v>
      </c>
      <c r="I72" s="78">
        <v>4</v>
      </c>
      <c r="J72" s="78">
        <v>4</v>
      </c>
      <c r="K72" s="81">
        <f>SUM(Table1[[#This Row],[Technical Knowledge]:[Repeat job nahin aana]])/6</f>
        <v>3.6666666666666665</v>
      </c>
      <c r="L72" s="79">
        <f>IFERROR(AVERAGEIFS(Table1[Final Score],Table1[Month],Table1[[#This Row],[Month]],Table1[Year],Table1[[#This Row],[Year]],Table1[Mechanic Name],Table1[[#This Row],[Mechanic Name]]),"")</f>
        <v>4.375</v>
      </c>
    </row>
    <row r="73" spans="1:12" x14ac:dyDescent="0.35">
      <c r="A73" s="78" t="s">
        <v>147</v>
      </c>
      <c r="B73" s="78">
        <v>2026</v>
      </c>
      <c r="C73" s="80" t="s">
        <v>155</v>
      </c>
      <c r="D73" s="115" t="s">
        <v>68</v>
      </c>
      <c r="E73" s="78">
        <v>5</v>
      </c>
      <c r="F73" s="78">
        <v>4</v>
      </c>
      <c r="G73" s="78">
        <v>4</v>
      </c>
      <c r="H73" s="78">
        <v>3</v>
      </c>
      <c r="I73" s="78">
        <v>4</v>
      </c>
      <c r="J73" s="78">
        <v>5</v>
      </c>
      <c r="K73" s="81">
        <f>SUM(Table1[[#This Row],[Technical Knowledge]:[Repeat job nahin aana]])/6</f>
        <v>4.166666666666667</v>
      </c>
      <c r="L73" s="79">
        <f>IFERROR(AVERAGEIFS(Table1[Final Score],Table1[Month],Table1[[#This Row],[Month]],Table1[Year],Table1[[#This Row],[Year]],Table1[Mechanic Name],Table1[[#This Row],[Mechanic Name]]),"")</f>
        <v>4.375</v>
      </c>
    </row>
    <row r="74" spans="1:12" hidden="1" x14ac:dyDescent="0.35">
      <c r="A74" s="78" t="s">
        <v>147</v>
      </c>
      <c r="B74" s="78">
        <v>2026</v>
      </c>
      <c r="C74" s="80" t="s">
        <v>146</v>
      </c>
      <c r="D74" s="78" t="s">
        <v>71</v>
      </c>
      <c r="E74" s="78">
        <v>4</v>
      </c>
      <c r="F74" s="78">
        <v>5</v>
      </c>
      <c r="G74" s="78">
        <v>4</v>
      </c>
      <c r="H74" s="78">
        <v>5</v>
      </c>
      <c r="I74" s="78">
        <v>5</v>
      </c>
      <c r="J74" s="78">
        <v>5</v>
      </c>
      <c r="K74" s="81">
        <f>SUM(Table1[[#This Row],[Technical Knowledge]:[Repeat job nahin aana]])/6</f>
        <v>4.666666666666667</v>
      </c>
      <c r="L74" s="79">
        <f>IFERROR(AVERAGEIFS(Table1[Final Score],Table1[Month],Table1[[#This Row],[Month]],Table1[Year],Table1[[#This Row],[Year]],Table1[Mechanic Name],Table1[[#This Row],[Mechanic Name]]),"")</f>
        <v>4.2777777777777777</v>
      </c>
    </row>
    <row r="75" spans="1:12" hidden="1" x14ac:dyDescent="0.35">
      <c r="A75" s="78" t="s">
        <v>147</v>
      </c>
      <c r="B75" s="78">
        <v>2026</v>
      </c>
      <c r="C75" s="80" t="s">
        <v>148</v>
      </c>
      <c r="D75" s="78" t="s">
        <v>71</v>
      </c>
      <c r="E75" s="78">
        <v>4</v>
      </c>
      <c r="F75" s="78">
        <v>5</v>
      </c>
      <c r="G75" s="78">
        <v>3</v>
      </c>
      <c r="H75" s="78">
        <v>5</v>
      </c>
      <c r="I75" s="78">
        <v>5</v>
      </c>
      <c r="J75" s="78">
        <v>5</v>
      </c>
      <c r="K75" s="81">
        <f>SUM(Table1[[#This Row],[Technical Knowledge]:[Repeat job nahin aana]])/6</f>
        <v>4.5</v>
      </c>
      <c r="L75" s="79">
        <f>IFERROR(AVERAGEIFS(Table1[Final Score],Table1[Month],Table1[[#This Row],[Month]],Table1[Year],Table1[[#This Row],[Year]],Table1[Mechanic Name],Table1[[#This Row],[Mechanic Name]]),"")</f>
        <v>4.2777777777777777</v>
      </c>
    </row>
    <row r="76" spans="1:12" hidden="1" x14ac:dyDescent="0.35">
      <c r="A76" s="78" t="s">
        <v>147</v>
      </c>
      <c r="B76" s="78">
        <v>2026</v>
      </c>
      <c r="C76" s="80" t="s">
        <v>154</v>
      </c>
      <c r="D76" s="78" t="s">
        <v>71</v>
      </c>
      <c r="E76" s="78">
        <v>4</v>
      </c>
      <c r="F76" s="78">
        <v>4</v>
      </c>
      <c r="G76" s="78">
        <v>3</v>
      </c>
      <c r="H76" s="78">
        <v>4</v>
      </c>
      <c r="I76" s="78">
        <v>3</v>
      </c>
      <c r="J76" s="78">
        <v>4</v>
      </c>
      <c r="K76" s="81">
        <f>SUM(Table1[[#This Row],[Technical Knowledge]:[Repeat job nahin aana]])/6</f>
        <v>3.6666666666666665</v>
      </c>
      <c r="L76" s="79">
        <f>IFERROR(AVERAGEIFS(Table1[Final Score],Table1[Month],Table1[[#This Row],[Month]],Table1[Year],Table1[[#This Row],[Year]],Table1[Mechanic Name],Table1[[#This Row],[Mechanic Name]]),"")</f>
        <v>4.2777777777777777</v>
      </c>
    </row>
    <row r="77" spans="1:12" x14ac:dyDescent="0.35">
      <c r="A77" s="78" t="s">
        <v>145</v>
      </c>
      <c r="B77" s="78">
        <v>2026</v>
      </c>
      <c r="C77" s="80" t="s">
        <v>155</v>
      </c>
      <c r="D77" s="78" t="s">
        <v>71</v>
      </c>
      <c r="E77" s="78">
        <v>4</v>
      </c>
      <c r="F77" s="78">
        <v>4</v>
      </c>
      <c r="G77" s="78">
        <v>4</v>
      </c>
      <c r="H77" s="78">
        <v>4</v>
      </c>
      <c r="I77" s="78">
        <v>3</v>
      </c>
      <c r="J77" s="78">
        <v>5</v>
      </c>
      <c r="K77" s="81">
        <f>SUM(Table1[[#This Row],[Technical Knowledge]:[Repeat job nahin aana]])/6</f>
        <v>4</v>
      </c>
      <c r="L77" s="79">
        <f>IFERROR(AVERAGEIFS(Table1[Final Score],Table1[Month],Table1[[#This Row],[Month]],Table1[Year],Table1[[#This Row],[Year]],Table1[Mechanic Name],Table1[[#This Row],[Mechanic Name]]),"")</f>
        <v>4</v>
      </c>
    </row>
    <row r="78" spans="1:12" hidden="1" x14ac:dyDescent="0.35">
      <c r="A78" s="78" t="s">
        <v>145</v>
      </c>
      <c r="B78" s="78">
        <v>2026</v>
      </c>
      <c r="C78" s="80" t="s">
        <v>146</v>
      </c>
      <c r="D78" s="78" t="s">
        <v>75</v>
      </c>
      <c r="E78" s="78">
        <v>5</v>
      </c>
      <c r="F78" s="78">
        <v>5</v>
      </c>
      <c r="G78" s="78">
        <v>4</v>
      </c>
      <c r="H78" s="78">
        <v>5</v>
      </c>
      <c r="I78" s="78">
        <v>5</v>
      </c>
      <c r="J78" s="78">
        <v>5</v>
      </c>
      <c r="K78" s="81">
        <f>SUM(Table1[[#This Row],[Technical Knowledge]:[Repeat job nahin aana]])/6</f>
        <v>4.833333333333333</v>
      </c>
      <c r="L78" s="79">
        <f>IFERROR(AVERAGEIFS(Table1[Final Score],Table1[Month],Table1[[#This Row],[Month]],Table1[Year],Table1[[#This Row],[Year]],Table1[Mechanic Name],Table1[[#This Row],[Mechanic Name]]),"")</f>
        <v>4.833333333333333</v>
      </c>
    </row>
    <row r="79" spans="1:12" hidden="1" x14ac:dyDescent="0.35">
      <c r="A79" s="78" t="s">
        <v>145</v>
      </c>
      <c r="B79" s="78">
        <v>2026</v>
      </c>
      <c r="C79" s="80" t="s">
        <v>148</v>
      </c>
      <c r="D79" s="78" t="s">
        <v>75</v>
      </c>
      <c r="E79" s="78">
        <v>5</v>
      </c>
      <c r="F79" s="78">
        <v>5</v>
      </c>
      <c r="G79" s="78">
        <v>4</v>
      </c>
      <c r="H79" s="78">
        <v>5</v>
      </c>
      <c r="I79" s="78">
        <v>5</v>
      </c>
      <c r="J79" s="78">
        <v>5</v>
      </c>
      <c r="K79" s="81">
        <f>SUM(Table1[[#This Row],[Technical Knowledge]:[Repeat job nahin aana]])/6</f>
        <v>4.833333333333333</v>
      </c>
      <c r="L79" s="79">
        <f>IFERROR(AVERAGEIFS(Table1[Final Score],Table1[Month],Table1[[#This Row],[Month]],Table1[Year],Table1[[#This Row],[Year]],Table1[Mechanic Name],Table1[[#This Row],[Mechanic Name]]),"")</f>
        <v>4.833333333333333</v>
      </c>
    </row>
    <row r="80" spans="1:12" hidden="1" x14ac:dyDescent="0.35">
      <c r="A80" s="78" t="s">
        <v>147</v>
      </c>
      <c r="B80" s="78">
        <v>2026</v>
      </c>
      <c r="C80" s="80" t="s">
        <v>154</v>
      </c>
      <c r="D80" s="78" t="s">
        <v>75</v>
      </c>
      <c r="E80" s="78">
        <v>4</v>
      </c>
      <c r="F80" s="78">
        <v>4</v>
      </c>
      <c r="G80" s="78">
        <v>3</v>
      </c>
      <c r="H80" s="78">
        <v>4</v>
      </c>
      <c r="I80" s="78">
        <v>3</v>
      </c>
      <c r="J80" s="78">
        <v>5</v>
      </c>
      <c r="K80" s="81">
        <f>SUM(Table1[[#This Row],[Technical Knowledge]:[Repeat job nahin aana]])/6</f>
        <v>3.8333333333333335</v>
      </c>
      <c r="L80" s="79">
        <f>IFERROR(AVERAGEIFS(Table1[Final Score],Table1[Month],Table1[[#This Row],[Month]],Table1[Year],Table1[[#This Row],[Year]],Table1[Mechanic Name],Table1[[#This Row],[Mechanic Name]]),"")</f>
        <v>3.75</v>
      </c>
    </row>
    <row r="81" spans="1:12" x14ac:dyDescent="0.35">
      <c r="A81" s="78" t="s">
        <v>147</v>
      </c>
      <c r="B81" s="78">
        <v>2026</v>
      </c>
      <c r="C81" s="80" t="s">
        <v>155</v>
      </c>
      <c r="D81" s="78" t="s">
        <v>75</v>
      </c>
      <c r="E81" s="78">
        <v>4</v>
      </c>
      <c r="F81" s="78">
        <v>4</v>
      </c>
      <c r="G81" s="78">
        <v>3</v>
      </c>
      <c r="H81" s="78">
        <v>3</v>
      </c>
      <c r="I81" s="78">
        <v>4</v>
      </c>
      <c r="J81" s="78">
        <v>4</v>
      </c>
      <c r="K81" s="81">
        <f>SUM(Table1[[#This Row],[Technical Knowledge]:[Repeat job nahin aana]])/6</f>
        <v>3.6666666666666665</v>
      </c>
      <c r="L81" s="79">
        <f>IFERROR(AVERAGEIFS(Table1[Final Score],Table1[Month],Table1[[#This Row],[Month]],Table1[Year],Table1[[#This Row],[Year]],Table1[Mechanic Name],Table1[[#This Row],[Mechanic Name]]),"")</f>
        <v>3.75</v>
      </c>
    </row>
    <row r="82" spans="1:12" hidden="1" x14ac:dyDescent="0.35">
      <c r="A82" s="78" t="s">
        <v>147</v>
      </c>
      <c r="B82" s="78">
        <v>2026</v>
      </c>
      <c r="C82" s="80" t="s">
        <v>146</v>
      </c>
      <c r="D82" s="78" t="s">
        <v>92</v>
      </c>
      <c r="E82" s="78">
        <v>4</v>
      </c>
      <c r="F82" s="78">
        <v>4</v>
      </c>
      <c r="G82" s="78">
        <v>3</v>
      </c>
      <c r="H82" s="78">
        <v>4</v>
      </c>
      <c r="I82" s="78">
        <v>3</v>
      </c>
      <c r="J82" s="78">
        <v>4</v>
      </c>
      <c r="K82" s="81">
        <f>SUM(Table1[[#This Row],[Technical Knowledge]:[Repeat job nahin aana]])/6</f>
        <v>3.6666666666666665</v>
      </c>
      <c r="L82" s="79">
        <f>IFERROR(AVERAGEIFS(Table1[Final Score],Table1[Month],Table1[[#This Row],[Month]],Table1[Year],Table1[[#This Row],[Year]],Table1[Mechanic Name],Table1[[#This Row],[Mechanic Name]]),"")</f>
        <v>3.4166666666666665</v>
      </c>
    </row>
    <row r="83" spans="1:12" hidden="1" x14ac:dyDescent="0.35">
      <c r="A83" s="78" t="s">
        <v>147</v>
      </c>
      <c r="B83" s="78">
        <v>2026</v>
      </c>
      <c r="C83" s="80" t="s">
        <v>148</v>
      </c>
      <c r="D83" s="78" t="s">
        <v>92</v>
      </c>
      <c r="E83" s="78">
        <v>4</v>
      </c>
      <c r="F83" s="78">
        <v>4</v>
      </c>
      <c r="G83" s="78">
        <v>3</v>
      </c>
      <c r="H83" s="78">
        <v>3</v>
      </c>
      <c r="I83" s="78">
        <v>3</v>
      </c>
      <c r="J83" s="78">
        <v>4</v>
      </c>
      <c r="K83" s="81">
        <f>SUM(Table1[[#This Row],[Technical Knowledge]:[Repeat job nahin aana]])/6</f>
        <v>3.5</v>
      </c>
      <c r="L83" s="79">
        <f>IFERROR(AVERAGEIFS(Table1[Final Score],Table1[Month],Table1[[#This Row],[Month]],Table1[Year],Table1[[#This Row],[Year]],Table1[Mechanic Name],Table1[[#This Row],[Mechanic Name]]),"")</f>
        <v>3.4166666666666665</v>
      </c>
    </row>
    <row r="84" spans="1:12" hidden="1" x14ac:dyDescent="0.35">
      <c r="A84" s="78" t="s">
        <v>147</v>
      </c>
      <c r="B84" s="78">
        <v>2026</v>
      </c>
      <c r="C84" s="80" t="s">
        <v>154</v>
      </c>
      <c r="D84" s="78" t="s">
        <v>92</v>
      </c>
      <c r="E84" s="78">
        <v>4</v>
      </c>
      <c r="F84" s="78">
        <v>4</v>
      </c>
      <c r="G84" s="78">
        <v>3</v>
      </c>
      <c r="H84" s="78">
        <v>3</v>
      </c>
      <c r="I84" s="78">
        <v>2</v>
      </c>
      <c r="J84" s="78">
        <v>4</v>
      </c>
      <c r="K84" s="81">
        <f>SUM(Table1[[#This Row],[Technical Knowledge]:[Repeat job nahin aana]])/6</f>
        <v>3.3333333333333335</v>
      </c>
      <c r="L84" s="79">
        <f>IFERROR(AVERAGEIFS(Table1[Final Score],Table1[Month],Table1[[#This Row],[Month]],Table1[Year],Table1[[#This Row],[Year]],Table1[Mechanic Name],Table1[[#This Row],[Mechanic Name]]),"")</f>
        <v>3.4166666666666665</v>
      </c>
    </row>
    <row r="85" spans="1:12" x14ac:dyDescent="0.35">
      <c r="A85" s="78" t="s">
        <v>147</v>
      </c>
      <c r="B85" s="78">
        <v>2026</v>
      </c>
      <c r="C85" s="80" t="s">
        <v>155</v>
      </c>
      <c r="D85" s="116" t="s">
        <v>92</v>
      </c>
      <c r="E85" s="78">
        <v>4</v>
      </c>
      <c r="F85" s="78">
        <v>4</v>
      </c>
      <c r="G85" s="78">
        <v>2</v>
      </c>
      <c r="H85" s="78">
        <v>3</v>
      </c>
      <c r="I85" s="78">
        <v>2</v>
      </c>
      <c r="J85" s="78">
        <v>4</v>
      </c>
      <c r="K85" s="81">
        <f>SUM(Table1[[#This Row],[Technical Knowledge]:[Repeat job nahin aana]])/6</f>
        <v>3.1666666666666665</v>
      </c>
      <c r="L85" s="79">
        <f>IFERROR(AVERAGEIFS(Table1[Final Score],Table1[Month],Table1[[#This Row],[Month]],Table1[Year],Table1[[#This Row],[Year]],Table1[Mechanic Name],Table1[[#This Row],[Mechanic Name]]),"")</f>
        <v>3.4166666666666665</v>
      </c>
    </row>
    <row r="86" spans="1:12" hidden="1" x14ac:dyDescent="0.35">
      <c r="A86" s="78" t="s">
        <v>147</v>
      </c>
      <c r="B86" s="78">
        <v>2026</v>
      </c>
      <c r="C86" s="80" t="s">
        <v>146</v>
      </c>
      <c r="D86" s="78" t="s">
        <v>78</v>
      </c>
      <c r="E86" s="78">
        <v>3</v>
      </c>
      <c r="F86" s="78">
        <v>3</v>
      </c>
      <c r="G86" s="78">
        <v>3</v>
      </c>
      <c r="H86" s="78">
        <v>3</v>
      </c>
      <c r="I86" s="78">
        <v>4</v>
      </c>
      <c r="J86" s="78">
        <v>3</v>
      </c>
      <c r="K86" s="81">
        <f>SUM(Table1[[#This Row],[Technical Knowledge]:[Repeat job nahin aana]])/6</f>
        <v>3.1666666666666665</v>
      </c>
      <c r="L86" s="79">
        <f>IFERROR(AVERAGEIFS(Table1[Final Score],Table1[Month],Table1[[#This Row],[Month]],Table1[Year],Table1[[#This Row],[Year]],Table1[Mechanic Name],Table1[[#This Row],[Mechanic Name]]),"")</f>
        <v>2.9166666666666665</v>
      </c>
    </row>
    <row r="87" spans="1:12" hidden="1" x14ac:dyDescent="0.35">
      <c r="A87" s="78" t="s">
        <v>147</v>
      </c>
      <c r="B87" s="78">
        <v>2026</v>
      </c>
      <c r="C87" s="80" t="s">
        <v>148</v>
      </c>
      <c r="D87" s="78" t="s">
        <v>78</v>
      </c>
      <c r="E87" s="78">
        <v>3</v>
      </c>
      <c r="F87" s="78">
        <v>3</v>
      </c>
      <c r="G87" s="78">
        <v>3</v>
      </c>
      <c r="H87" s="78">
        <v>3</v>
      </c>
      <c r="I87" s="78">
        <v>3</v>
      </c>
      <c r="J87" s="78">
        <v>3</v>
      </c>
      <c r="K87" s="81">
        <f>SUM(Table1[[#This Row],[Technical Knowledge]:[Repeat job nahin aana]])/6</f>
        <v>3</v>
      </c>
      <c r="L87" s="79">
        <f>IFERROR(AVERAGEIFS(Table1[Final Score],Table1[Month],Table1[[#This Row],[Month]],Table1[Year],Table1[[#This Row],[Year]],Table1[Mechanic Name],Table1[[#This Row],[Mechanic Name]]),"")</f>
        <v>2.9166666666666665</v>
      </c>
    </row>
    <row r="88" spans="1:12" hidden="1" x14ac:dyDescent="0.35">
      <c r="A88" s="78" t="s">
        <v>147</v>
      </c>
      <c r="B88" s="78">
        <v>2026</v>
      </c>
      <c r="C88" s="80" t="s">
        <v>154</v>
      </c>
      <c r="D88" s="78" t="s">
        <v>78</v>
      </c>
      <c r="E88" s="78">
        <v>3</v>
      </c>
      <c r="F88" s="78">
        <v>3</v>
      </c>
      <c r="G88" s="78">
        <v>3</v>
      </c>
      <c r="H88" s="78">
        <v>3</v>
      </c>
      <c r="I88" s="78">
        <v>3</v>
      </c>
      <c r="J88" s="78">
        <v>3</v>
      </c>
      <c r="K88" s="81">
        <f>SUM(Table1[[#This Row],[Technical Knowledge]:[Repeat job nahin aana]])/6</f>
        <v>3</v>
      </c>
      <c r="L88" s="79">
        <f>IFERROR(AVERAGEIFS(Table1[Final Score],Table1[Month],Table1[[#This Row],[Month]],Table1[Year],Table1[[#This Row],[Year]],Table1[Mechanic Name],Table1[[#This Row],[Mechanic Name]]),"")</f>
        <v>2.9166666666666665</v>
      </c>
    </row>
    <row r="89" spans="1:12" x14ac:dyDescent="0.35">
      <c r="A89" s="78" t="s">
        <v>147</v>
      </c>
      <c r="B89" s="78">
        <v>2026</v>
      </c>
      <c r="C89" s="80" t="s">
        <v>155</v>
      </c>
      <c r="D89" s="116" t="s">
        <v>78</v>
      </c>
      <c r="E89" s="78">
        <v>3</v>
      </c>
      <c r="F89" s="78">
        <v>3</v>
      </c>
      <c r="G89" s="78">
        <v>2</v>
      </c>
      <c r="H89" s="78">
        <v>2</v>
      </c>
      <c r="I89" s="78">
        <v>2</v>
      </c>
      <c r="J89" s="78">
        <v>3</v>
      </c>
      <c r="K89" s="81">
        <f>SUM(Table1[[#This Row],[Technical Knowledge]:[Repeat job nahin aana]])/6</f>
        <v>2.5</v>
      </c>
      <c r="L89" s="79">
        <f>IFERROR(AVERAGEIFS(Table1[Final Score],Table1[Month],Table1[[#This Row],[Month]],Table1[Year],Table1[[#This Row],[Year]],Table1[Mechanic Name],Table1[[#This Row],[Mechanic Name]]),"")</f>
        <v>2.9166666666666665</v>
      </c>
    </row>
    <row r="90" spans="1:12" hidden="1" x14ac:dyDescent="0.35">
      <c r="A90" s="78" t="s">
        <v>147</v>
      </c>
      <c r="B90" s="78">
        <v>2026</v>
      </c>
      <c r="C90" s="80" t="s">
        <v>146</v>
      </c>
      <c r="D90" s="78" t="s">
        <v>74</v>
      </c>
      <c r="E90" s="78">
        <v>4</v>
      </c>
      <c r="F90" s="78">
        <v>4</v>
      </c>
      <c r="G90" s="78">
        <v>3</v>
      </c>
      <c r="H90" s="78">
        <v>3</v>
      </c>
      <c r="I90" s="78">
        <v>4</v>
      </c>
      <c r="J90" s="78">
        <v>4</v>
      </c>
      <c r="K90" s="81">
        <f>SUM(Table1[[#This Row],[Technical Knowledge]:[Repeat job nahin aana]])/6</f>
        <v>3.6666666666666665</v>
      </c>
      <c r="L90" s="79">
        <f>IFERROR(AVERAGEIFS(Table1[Final Score],Table1[Month],Table1[[#This Row],[Month]],Table1[Year],Table1[[#This Row],[Year]],Table1[Mechanic Name],Table1[[#This Row],[Mechanic Name]]),"")</f>
        <v>3.4999999999999996</v>
      </c>
    </row>
    <row r="91" spans="1:12" hidden="1" x14ac:dyDescent="0.35">
      <c r="A91" s="78" t="s">
        <v>147</v>
      </c>
      <c r="B91" s="78">
        <v>2026</v>
      </c>
      <c r="C91" s="80" t="s">
        <v>148</v>
      </c>
      <c r="D91" s="78" t="s">
        <v>74</v>
      </c>
      <c r="E91" s="78">
        <v>4</v>
      </c>
      <c r="F91" s="78">
        <v>4</v>
      </c>
      <c r="G91" s="78">
        <v>3</v>
      </c>
      <c r="H91" s="78">
        <v>3</v>
      </c>
      <c r="I91" s="78">
        <v>4</v>
      </c>
      <c r="J91" s="78">
        <v>4</v>
      </c>
      <c r="K91" s="81">
        <f>SUM(Table1[[#This Row],[Technical Knowledge]:[Repeat job nahin aana]])/6</f>
        <v>3.6666666666666665</v>
      </c>
      <c r="L91" s="79">
        <f>IFERROR(AVERAGEIFS(Table1[Final Score],Table1[Month],Table1[[#This Row],[Month]],Table1[Year],Table1[[#This Row],[Year]],Table1[Mechanic Name],Table1[[#This Row],[Mechanic Name]]),"")</f>
        <v>3.4999999999999996</v>
      </c>
    </row>
    <row r="92" spans="1:12" hidden="1" x14ac:dyDescent="0.35">
      <c r="A92" s="78" t="s">
        <v>147</v>
      </c>
      <c r="B92" s="78">
        <v>2026</v>
      </c>
      <c r="C92" s="80" t="s">
        <v>154</v>
      </c>
      <c r="D92" s="78" t="s">
        <v>74</v>
      </c>
      <c r="E92" s="78">
        <v>4</v>
      </c>
      <c r="F92" s="78">
        <v>4</v>
      </c>
      <c r="G92" s="78">
        <v>2</v>
      </c>
      <c r="H92" s="78">
        <v>3</v>
      </c>
      <c r="I92" s="78">
        <v>4</v>
      </c>
      <c r="J92" s="78">
        <v>4</v>
      </c>
      <c r="K92" s="81">
        <f>SUM(Table1[[#This Row],[Technical Knowledge]:[Repeat job nahin aana]])/6</f>
        <v>3.5</v>
      </c>
      <c r="L92" s="79">
        <f>IFERROR(AVERAGEIFS(Table1[Final Score],Table1[Month],Table1[[#This Row],[Month]],Table1[Year],Table1[[#This Row],[Year]],Table1[Mechanic Name],Table1[[#This Row],[Mechanic Name]]),"")</f>
        <v>3.4999999999999996</v>
      </c>
    </row>
    <row r="93" spans="1:12" x14ac:dyDescent="0.35">
      <c r="A93" s="78" t="s">
        <v>147</v>
      </c>
      <c r="B93" s="78">
        <v>2026</v>
      </c>
      <c r="C93" s="80" t="s">
        <v>155</v>
      </c>
      <c r="D93" s="78" t="s">
        <v>74</v>
      </c>
      <c r="E93" s="78">
        <v>4</v>
      </c>
      <c r="F93" s="78">
        <v>4</v>
      </c>
      <c r="G93" s="78">
        <v>2</v>
      </c>
      <c r="H93" s="78">
        <v>2</v>
      </c>
      <c r="I93" s="78">
        <v>3</v>
      </c>
      <c r="J93" s="78">
        <v>4</v>
      </c>
      <c r="K93" s="81">
        <f>SUM(Table1[[#This Row],[Technical Knowledge]:[Repeat job nahin aana]])/6</f>
        <v>3.1666666666666665</v>
      </c>
      <c r="L93" s="79">
        <f>IFERROR(AVERAGEIFS(Table1[Final Score],Table1[Month],Table1[[#This Row],[Month]],Table1[Year],Table1[[#This Row],[Year]],Table1[Mechanic Name],Table1[[#This Row],[Mechanic Name]]),"")</f>
        <v>3.4999999999999996</v>
      </c>
    </row>
    <row r="94" spans="1:12" hidden="1" x14ac:dyDescent="0.35">
      <c r="A94" s="78" t="s">
        <v>147</v>
      </c>
      <c r="B94" s="78">
        <v>2026</v>
      </c>
      <c r="C94" s="80" t="s">
        <v>146</v>
      </c>
      <c r="D94" s="78" t="s">
        <v>93</v>
      </c>
      <c r="E94" s="78">
        <v>3</v>
      </c>
      <c r="F94" s="78">
        <v>3</v>
      </c>
      <c r="G94" s="78">
        <v>3</v>
      </c>
      <c r="H94" s="78">
        <v>3</v>
      </c>
      <c r="I94" s="78">
        <v>2</v>
      </c>
      <c r="J94" s="78">
        <v>2</v>
      </c>
      <c r="K94" s="81">
        <f>SUM(Table1[[#This Row],[Technical Knowledge]:[Repeat job nahin aana]])/6</f>
        <v>2.6666666666666665</v>
      </c>
      <c r="L94" s="79">
        <f>IFERROR(AVERAGEIFS(Table1[Final Score],Table1[Month],Table1[[#This Row],[Month]],Table1[Year],Table1[[#This Row],[Year]],Table1[Mechanic Name],Table1[[#This Row],[Mechanic Name]]),"")</f>
        <v>2.583333333333333</v>
      </c>
    </row>
    <row r="95" spans="1:12" hidden="1" x14ac:dyDescent="0.35">
      <c r="A95" s="78" t="s">
        <v>147</v>
      </c>
      <c r="B95" s="78">
        <v>2026</v>
      </c>
      <c r="C95" s="80" t="s">
        <v>148</v>
      </c>
      <c r="D95" s="78" t="s">
        <v>93</v>
      </c>
      <c r="E95" s="78">
        <v>3</v>
      </c>
      <c r="F95" s="78">
        <v>3</v>
      </c>
      <c r="G95" s="78">
        <v>3</v>
      </c>
      <c r="H95" s="78">
        <v>3</v>
      </c>
      <c r="I95" s="78">
        <v>2</v>
      </c>
      <c r="J95" s="78">
        <v>2</v>
      </c>
      <c r="K95" s="81">
        <f>SUM(Table1[[#This Row],[Technical Knowledge]:[Repeat job nahin aana]])/6</f>
        <v>2.6666666666666665</v>
      </c>
      <c r="L95" s="79">
        <f>IFERROR(AVERAGEIFS(Table1[Final Score],Table1[Month],Table1[[#This Row],[Month]],Table1[Year],Table1[[#This Row],[Year]],Table1[Mechanic Name],Table1[[#This Row],[Mechanic Name]]),"")</f>
        <v>2.583333333333333</v>
      </c>
    </row>
    <row r="96" spans="1:12" hidden="1" x14ac:dyDescent="0.35">
      <c r="A96" s="78" t="s">
        <v>147</v>
      </c>
      <c r="B96" s="78">
        <v>2026</v>
      </c>
      <c r="C96" s="80" t="s">
        <v>154</v>
      </c>
      <c r="D96" s="78" t="s">
        <v>93</v>
      </c>
      <c r="E96" s="78">
        <v>3</v>
      </c>
      <c r="F96" s="78">
        <v>2</v>
      </c>
      <c r="G96" s="78">
        <v>3</v>
      </c>
      <c r="H96" s="78">
        <v>3</v>
      </c>
      <c r="I96" s="78">
        <v>1</v>
      </c>
      <c r="J96" s="78">
        <v>3</v>
      </c>
      <c r="K96" s="81">
        <f>SUM(Table1[[#This Row],[Technical Knowledge]:[Repeat job nahin aana]])/6</f>
        <v>2.5</v>
      </c>
      <c r="L96" s="79">
        <f>IFERROR(AVERAGEIFS(Table1[Final Score],Table1[Month],Table1[[#This Row],[Month]],Table1[Year],Table1[[#This Row],[Year]],Table1[Mechanic Name],Table1[[#This Row],[Mechanic Name]]),"")</f>
        <v>2.583333333333333</v>
      </c>
    </row>
    <row r="97" spans="1:12" x14ac:dyDescent="0.35">
      <c r="A97" s="78" t="s">
        <v>147</v>
      </c>
      <c r="B97" s="78">
        <v>2026</v>
      </c>
      <c r="C97" s="80" t="s">
        <v>155</v>
      </c>
      <c r="D97" s="116" t="s">
        <v>93</v>
      </c>
      <c r="E97" s="78">
        <v>3</v>
      </c>
      <c r="F97" s="78">
        <v>3</v>
      </c>
      <c r="G97" s="78">
        <v>2</v>
      </c>
      <c r="H97" s="78">
        <v>2</v>
      </c>
      <c r="I97" s="78">
        <v>2</v>
      </c>
      <c r="J97" s="78">
        <v>3</v>
      </c>
      <c r="K97" s="81">
        <f>SUM(Table1[[#This Row],[Technical Knowledge]:[Repeat job nahin aana]])/6</f>
        <v>2.5</v>
      </c>
      <c r="L97" s="79">
        <f>IFERROR(AVERAGEIFS(Table1[Final Score],Table1[Month],Table1[[#This Row],[Month]],Table1[Year],Table1[[#This Row],[Year]],Table1[Mechanic Name],Table1[[#This Row],[Mechanic Name]]),"")</f>
        <v>2.583333333333333</v>
      </c>
    </row>
    <row r="98" spans="1:12" hidden="1" x14ac:dyDescent="0.35">
      <c r="A98" s="78" t="s">
        <v>147</v>
      </c>
      <c r="B98" s="78">
        <v>2026</v>
      </c>
      <c r="C98" s="80" t="s">
        <v>146</v>
      </c>
      <c r="D98" s="78" t="s">
        <v>77</v>
      </c>
      <c r="E98" s="78">
        <v>5</v>
      </c>
      <c r="F98" s="78">
        <v>5</v>
      </c>
      <c r="G98" s="78">
        <v>3</v>
      </c>
      <c r="H98" s="78">
        <v>3</v>
      </c>
      <c r="I98" s="78">
        <v>1</v>
      </c>
      <c r="J98" s="78">
        <v>4</v>
      </c>
      <c r="K98" s="81">
        <f>SUM(Table1[[#This Row],[Technical Knowledge]:[Repeat job nahin aana]])/6</f>
        <v>3.5</v>
      </c>
      <c r="L98" s="79">
        <f>IFERROR(AVERAGEIFS(Table1[Final Score],Table1[Month],Table1[[#This Row],[Month]],Table1[Year],Table1[[#This Row],[Year]],Table1[Mechanic Name],Table1[[#This Row],[Mechanic Name]]),"")</f>
        <v>3.333333333333333</v>
      </c>
    </row>
    <row r="99" spans="1:12" hidden="1" x14ac:dyDescent="0.35">
      <c r="A99" s="78" t="s">
        <v>147</v>
      </c>
      <c r="B99" s="78">
        <v>2026</v>
      </c>
      <c r="C99" s="80" t="s">
        <v>148</v>
      </c>
      <c r="D99" s="78" t="s">
        <v>77</v>
      </c>
      <c r="E99" s="78">
        <v>5</v>
      </c>
      <c r="F99" s="78">
        <v>5</v>
      </c>
      <c r="G99" s="78">
        <v>3</v>
      </c>
      <c r="H99" s="78">
        <v>3</v>
      </c>
      <c r="I99" s="78">
        <v>1</v>
      </c>
      <c r="J99" s="78">
        <v>5</v>
      </c>
      <c r="K99" s="81">
        <f>SUM(Table1[[#This Row],[Technical Knowledge]:[Repeat job nahin aana]])/6</f>
        <v>3.6666666666666665</v>
      </c>
      <c r="L99" s="79">
        <f>IFERROR(AVERAGEIFS(Table1[Final Score],Table1[Month],Table1[[#This Row],[Month]],Table1[Year],Table1[[#This Row],[Year]],Table1[Mechanic Name],Table1[[#This Row],[Mechanic Name]]),"")</f>
        <v>3.333333333333333</v>
      </c>
    </row>
    <row r="100" spans="1:12" hidden="1" x14ac:dyDescent="0.35">
      <c r="A100" s="78" t="s">
        <v>147</v>
      </c>
      <c r="B100" s="78">
        <v>2026</v>
      </c>
      <c r="C100" s="80" t="s">
        <v>154</v>
      </c>
      <c r="D100" s="78" t="s">
        <v>77</v>
      </c>
      <c r="E100" s="78">
        <v>5</v>
      </c>
      <c r="F100" s="78">
        <v>4</v>
      </c>
      <c r="G100" s="78">
        <v>2</v>
      </c>
      <c r="H100" s="78">
        <v>3</v>
      </c>
      <c r="I100" s="78">
        <v>1</v>
      </c>
      <c r="J100" s="78">
        <v>4</v>
      </c>
      <c r="K100" s="81">
        <f>SUM(Table1[[#This Row],[Technical Knowledge]:[Repeat job nahin aana]])/6</f>
        <v>3.1666666666666665</v>
      </c>
      <c r="L100" s="79">
        <f>IFERROR(AVERAGEIFS(Table1[Final Score],Table1[Month],Table1[[#This Row],[Month]],Table1[Year],Table1[[#This Row],[Year]],Table1[Mechanic Name],Table1[[#This Row],[Mechanic Name]]),"")</f>
        <v>3.333333333333333</v>
      </c>
    </row>
    <row r="101" spans="1:12" x14ac:dyDescent="0.35">
      <c r="A101" s="78" t="s">
        <v>147</v>
      </c>
      <c r="B101" s="78">
        <v>2026</v>
      </c>
      <c r="C101" s="80" t="s">
        <v>155</v>
      </c>
      <c r="D101" s="116" t="s">
        <v>77</v>
      </c>
      <c r="E101" s="78">
        <v>5</v>
      </c>
      <c r="F101" s="78">
        <v>4</v>
      </c>
      <c r="G101" s="78">
        <v>2</v>
      </c>
      <c r="H101" s="78">
        <v>2</v>
      </c>
      <c r="I101" s="78">
        <v>1</v>
      </c>
      <c r="J101" s="78">
        <v>4</v>
      </c>
      <c r="K101" s="81">
        <f>SUM(Table1[[#This Row],[Technical Knowledge]:[Repeat job nahin aana]])/6</f>
        <v>3</v>
      </c>
      <c r="L101" s="79">
        <f>IFERROR(AVERAGEIFS(Table1[Final Score],Table1[Month],Table1[[#This Row],[Month]],Table1[Year],Table1[[#This Row],[Year]],Table1[Mechanic Name],Table1[[#This Row],[Mechanic Name]]),"")</f>
        <v>3.333333333333333</v>
      </c>
    </row>
    <row r="102" spans="1:12" hidden="1" x14ac:dyDescent="0.35">
      <c r="A102" s="78" t="s">
        <v>147</v>
      </c>
      <c r="B102" s="78">
        <v>2026</v>
      </c>
      <c r="C102" s="80" t="s">
        <v>146</v>
      </c>
      <c r="D102" s="78" t="s">
        <v>73</v>
      </c>
      <c r="E102" s="78">
        <v>3</v>
      </c>
      <c r="F102" s="78">
        <v>5</v>
      </c>
      <c r="G102" s="78">
        <v>4</v>
      </c>
      <c r="H102" s="78">
        <v>4</v>
      </c>
      <c r="I102" s="78">
        <v>5</v>
      </c>
      <c r="J102" s="78">
        <v>4</v>
      </c>
      <c r="K102" s="81">
        <f>SUM(Table1[[#This Row],[Technical Knowledge]:[Repeat job nahin aana]])/6</f>
        <v>4.166666666666667</v>
      </c>
      <c r="L102" s="79">
        <f>IFERROR(AVERAGEIFS(Table1[Final Score],Table1[Month],Table1[[#This Row],[Month]],Table1[Year],Table1[[#This Row],[Year]],Table1[Mechanic Name],Table1[[#This Row],[Mechanic Name]]),"")</f>
        <v>3.625</v>
      </c>
    </row>
    <row r="103" spans="1:12" hidden="1" x14ac:dyDescent="0.35">
      <c r="A103" s="78" t="s">
        <v>147</v>
      </c>
      <c r="B103" s="78">
        <v>2026</v>
      </c>
      <c r="C103" s="80" t="s">
        <v>148</v>
      </c>
      <c r="D103" s="78" t="s">
        <v>73</v>
      </c>
      <c r="E103" s="78">
        <v>3</v>
      </c>
      <c r="F103" s="78">
        <v>4</v>
      </c>
      <c r="G103" s="78">
        <v>4</v>
      </c>
      <c r="H103" s="78">
        <v>4</v>
      </c>
      <c r="I103" s="78">
        <v>4</v>
      </c>
      <c r="J103" s="78">
        <v>4</v>
      </c>
      <c r="K103" s="81">
        <f>SUM(Table1[[#This Row],[Technical Knowledge]:[Repeat job nahin aana]])/6</f>
        <v>3.8333333333333335</v>
      </c>
      <c r="L103" s="79">
        <f>IFERROR(AVERAGEIFS(Table1[Final Score],Table1[Month],Table1[[#This Row],[Month]],Table1[Year],Table1[[#This Row],[Year]],Table1[Mechanic Name],Table1[[#This Row],[Mechanic Name]]),"")</f>
        <v>3.625</v>
      </c>
    </row>
    <row r="104" spans="1:12" hidden="1" x14ac:dyDescent="0.35">
      <c r="A104" s="78" t="s">
        <v>147</v>
      </c>
      <c r="B104" s="78">
        <v>2026</v>
      </c>
      <c r="C104" s="80" t="s">
        <v>154</v>
      </c>
      <c r="D104" s="78" t="s">
        <v>73</v>
      </c>
      <c r="E104" s="78">
        <v>3</v>
      </c>
      <c r="F104" s="78">
        <v>3</v>
      </c>
      <c r="G104" s="78">
        <v>4</v>
      </c>
      <c r="H104" s="78">
        <v>4</v>
      </c>
      <c r="I104" s="78">
        <v>3</v>
      </c>
      <c r="J104" s="78">
        <v>3</v>
      </c>
      <c r="K104" s="81">
        <f>SUM(Table1[[#This Row],[Technical Knowledge]:[Repeat job nahin aana]])/6</f>
        <v>3.3333333333333335</v>
      </c>
      <c r="L104" s="79">
        <f>IFERROR(AVERAGEIFS(Table1[Final Score],Table1[Month],Table1[[#This Row],[Month]],Table1[Year],Table1[[#This Row],[Year]],Table1[Mechanic Name],Table1[[#This Row],[Mechanic Name]]),"")</f>
        <v>3.625</v>
      </c>
    </row>
    <row r="105" spans="1:12" x14ac:dyDescent="0.35">
      <c r="A105" s="78" t="s">
        <v>147</v>
      </c>
      <c r="B105" s="78">
        <v>2026</v>
      </c>
      <c r="C105" s="80" t="s">
        <v>155</v>
      </c>
      <c r="D105" s="78" t="s">
        <v>73</v>
      </c>
      <c r="E105" s="78">
        <v>3</v>
      </c>
      <c r="F105" s="78">
        <v>3</v>
      </c>
      <c r="G105" s="78">
        <v>3</v>
      </c>
      <c r="H105" s="78">
        <v>3</v>
      </c>
      <c r="I105" s="78">
        <v>4</v>
      </c>
      <c r="J105" s="78">
        <v>3</v>
      </c>
      <c r="K105" s="81">
        <f>SUM(Table1[[#This Row],[Technical Knowledge]:[Repeat job nahin aana]])/6</f>
        <v>3.1666666666666665</v>
      </c>
      <c r="L105" s="79">
        <f>IFERROR(AVERAGEIFS(Table1[Final Score],Table1[Month],Table1[[#This Row],[Month]],Table1[Year],Table1[[#This Row],[Year]],Table1[Mechanic Name],Table1[[#This Row],[Mechanic Name]]),"")</f>
        <v>3.625</v>
      </c>
    </row>
    <row r="106" spans="1:12" hidden="1" x14ac:dyDescent="0.35">
      <c r="A106" s="78" t="s">
        <v>147</v>
      </c>
      <c r="B106" s="78">
        <v>2026</v>
      </c>
      <c r="C106" s="80" t="s">
        <v>146</v>
      </c>
      <c r="D106" s="78" t="s">
        <v>83</v>
      </c>
      <c r="E106" s="78">
        <v>4</v>
      </c>
      <c r="F106" s="78">
        <v>4</v>
      </c>
      <c r="G106" s="78">
        <v>3</v>
      </c>
      <c r="H106" s="78">
        <v>4</v>
      </c>
      <c r="I106" s="78">
        <v>4</v>
      </c>
      <c r="J106" s="78">
        <v>3</v>
      </c>
      <c r="K106" s="81">
        <f>SUM(Table1[[#This Row],[Technical Knowledge]:[Repeat job nahin aana]])/6</f>
        <v>3.6666666666666665</v>
      </c>
      <c r="L106" s="79">
        <f>IFERROR(AVERAGEIFS(Table1[Final Score],Table1[Month],Table1[[#This Row],[Month]],Table1[Year],Table1[[#This Row],[Year]],Table1[Mechanic Name],Table1[[#This Row],[Mechanic Name]]),"")</f>
        <v>3.458333333333333</v>
      </c>
    </row>
    <row r="107" spans="1:12" hidden="1" x14ac:dyDescent="0.35">
      <c r="A107" s="78" t="s">
        <v>147</v>
      </c>
      <c r="B107" s="78">
        <v>2026</v>
      </c>
      <c r="C107" s="80" t="s">
        <v>148</v>
      </c>
      <c r="D107" s="78" t="s">
        <v>83</v>
      </c>
      <c r="E107" s="78">
        <v>4</v>
      </c>
      <c r="F107" s="78">
        <v>4</v>
      </c>
      <c r="G107" s="78">
        <v>3</v>
      </c>
      <c r="H107" s="78">
        <v>4</v>
      </c>
      <c r="I107" s="78">
        <v>4</v>
      </c>
      <c r="J107" s="78">
        <v>3</v>
      </c>
      <c r="K107" s="81">
        <f>SUM(Table1[[#This Row],[Technical Knowledge]:[Repeat job nahin aana]])/6</f>
        <v>3.6666666666666665</v>
      </c>
      <c r="L107" s="79">
        <f>IFERROR(AVERAGEIFS(Table1[Final Score],Table1[Month],Table1[[#This Row],[Month]],Table1[Year],Table1[[#This Row],[Year]],Table1[Mechanic Name],Table1[[#This Row],[Mechanic Name]]),"")</f>
        <v>3.458333333333333</v>
      </c>
    </row>
    <row r="108" spans="1:12" hidden="1" x14ac:dyDescent="0.35">
      <c r="A108" s="78" t="s">
        <v>147</v>
      </c>
      <c r="B108" s="78">
        <v>2026</v>
      </c>
      <c r="C108" s="80" t="s">
        <v>154</v>
      </c>
      <c r="D108" s="78" t="s">
        <v>83</v>
      </c>
      <c r="E108" s="78">
        <v>4</v>
      </c>
      <c r="F108" s="78">
        <v>4</v>
      </c>
      <c r="G108" s="78">
        <v>2</v>
      </c>
      <c r="H108" s="78">
        <v>3</v>
      </c>
      <c r="I108" s="78">
        <v>3</v>
      </c>
      <c r="J108" s="78">
        <v>4</v>
      </c>
      <c r="K108" s="81">
        <f>SUM(Table1[[#This Row],[Technical Knowledge]:[Repeat job nahin aana]])/6</f>
        <v>3.3333333333333335</v>
      </c>
      <c r="L108" s="79">
        <f>IFERROR(AVERAGEIFS(Table1[Final Score],Table1[Month],Table1[[#This Row],[Month]],Table1[Year],Table1[[#This Row],[Year]],Table1[Mechanic Name],Table1[[#This Row],[Mechanic Name]]),"")</f>
        <v>3.458333333333333</v>
      </c>
    </row>
    <row r="109" spans="1:12" x14ac:dyDescent="0.35">
      <c r="A109" s="78" t="s">
        <v>147</v>
      </c>
      <c r="B109" s="78">
        <v>2026</v>
      </c>
      <c r="C109" s="80" t="s">
        <v>155</v>
      </c>
      <c r="D109" s="116" t="s">
        <v>83</v>
      </c>
      <c r="E109" s="78">
        <v>4</v>
      </c>
      <c r="F109" s="78">
        <v>4</v>
      </c>
      <c r="G109" s="78">
        <v>2</v>
      </c>
      <c r="H109" s="78">
        <v>3</v>
      </c>
      <c r="I109" s="78">
        <v>3</v>
      </c>
      <c r="J109" s="78">
        <v>3</v>
      </c>
      <c r="K109" s="81">
        <f>SUM(Table1[[#This Row],[Technical Knowledge]:[Repeat job nahin aana]])/6</f>
        <v>3.1666666666666665</v>
      </c>
      <c r="L109" s="79">
        <f>IFERROR(AVERAGEIFS(Table1[Final Score],Table1[Month],Table1[[#This Row],[Month]],Table1[Year],Table1[[#This Row],[Year]],Table1[Mechanic Name],Table1[[#This Row],[Mechanic Name]]),"")</f>
        <v>3.458333333333333</v>
      </c>
    </row>
    <row r="110" spans="1:12" hidden="1" x14ac:dyDescent="0.35">
      <c r="A110" s="78" t="s">
        <v>147</v>
      </c>
      <c r="B110" s="78">
        <v>2026</v>
      </c>
      <c r="C110" s="80" t="s">
        <v>146</v>
      </c>
      <c r="D110" s="78" t="s">
        <v>67</v>
      </c>
      <c r="E110" s="78">
        <v>3</v>
      </c>
      <c r="F110" s="78">
        <v>3</v>
      </c>
      <c r="G110" s="78">
        <v>4</v>
      </c>
      <c r="H110" s="78">
        <v>4</v>
      </c>
      <c r="I110" s="78">
        <v>4</v>
      </c>
      <c r="J110" s="78">
        <v>4</v>
      </c>
      <c r="K110" s="81">
        <f>SUM(Table1[[#This Row],[Technical Knowledge]:[Repeat job nahin aana]])/6</f>
        <v>3.6666666666666665</v>
      </c>
      <c r="L110" s="79">
        <f>IFERROR(AVERAGEIFS(Table1[Final Score],Table1[Month],Table1[[#This Row],[Month]],Table1[Year],Table1[[#This Row],[Year]],Table1[Mechanic Name],Table1[[#This Row],[Mechanic Name]]),"")</f>
        <v>3.2083333333333335</v>
      </c>
    </row>
    <row r="111" spans="1:12" hidden="1" x14ac:dyDescent="0.35">
      <c r="A111" s="78" t="s">
        <v>147</v>
      </c>
      <c r="B111" s="78">
        <v>2026</v>
      </c>
      <c r="C111" s="80" t="s">
        <v>148</v>
      </c>
      <c r="D111" s="78" t="s">
        <v>67</v>
      </c>
      <c r="E111" s="78">
        <v>3</v>
      </c>
      <c r="F111" s="78">
        <v>3</v>
      </c>
      <c r="G111" s="78">
        <v>4</v>
      </c>
      <c r="H111" s="78">
        <v>3</v>
      </c>
      <c r="I111" s="78">
        <v>3</v>
      </c>
      <c r="J111" s="78">
        <v>4</v>
      </c>
      <c r="K111" s="81">
        <f>SUM(Table1[[#This Row],[Technical Knowledge]:[Repeat job nahin aana]])/6</f>
        <v>3.3333333333333335</v>
      </c>
      <c r="L111" s="79">
        <f>IFERROR(AVERAGEIFS(Table1[Final Score],Table1[Month],Table1[[#This Row],[Month]],Table1[Year],Table1[[#This Row],[Year]],Table1[Mechanic Name],Table1[[#This Row],[Mechanic Name]]),"")</f>
        <v>3.2083333333333335</v>
      </c>
    </row>
    <row r="112" spans="1:12" hidden="1" x14ac:dyDescent="0.35">
      <c r="A112" s="78" t="s">
        <v>147</v>
      </c>
      <c r="B112" s="78">
        <v>2026</v>
      </c>
      <c r="C112" s="80" t="s">
        <v>154</v>
      </c>
      <c r="D112" s="78" t="s">
        <v>67</v>
      </c>
      <c r="E112" s="78">
        <v>2</v>
      </c>
      <c r="F112" s="78">
        <v>3</v>
      </c>
      <c r="G112" s="78">
        <v>3</v>
      </c>
      <c r="H112" s="78">
        <v>3</v>
      </c>
      <c r="I112" s="78">
        <v>3</v>
      </c>
      <c r="J112" s="78">
        <v>4</v>
      </c>
      <c r="K112" s="81">
        <f>SUM(Table1[[#This Row],[Technical Knowledge]:[Repeat job nahin aana]])/6</f>
        <v>3</v>
      </c>
      <c r="L112" s="79">
        <f>IFERROR(AVERAGEIFS(Table1[Final Score],Table1[Month],Table1[[#This Row],[Month]],Table1[Year],Table1[[#This Row],[Year]],Table1[Mechanic Name],Table1[[#This Row],[Mechanic Name]]),"")</f>
        <v>3.2083333333333335</v>
      </c>
    </row>
    <row r="113" spans="1:12" x14ac:dyDescent="0.35">
      <c r="A113" s="78" t="s">
        <v>147</v>
      </c>
      <c r="B113" s="78">
        <v>2026</v>
      </c>
      <c r="C113" s="80" t="s">
        <v>155</v>
      </c>
      <c r="D113" s="116" t="s">
        <v>67</v>
      </c>
      <c r="E113" s="78">
        <v>2</v>
      </c>
      <c r="F113" s="78">
        <v>3</v>
      </c>
      <c r="G113" s="78">
        <v>2</v>
      </c>
      <c r="H113" s="78">
        <v>3</v>
      </c>
      <c r="I113" s="78">
        <v>3</v>
      </c>
      <c r="J113" s="78">
        <v>4</v>
      </c>
      <c r="K113" s="81">
        <f>SUM(Table1[[#This Row],[Technical Knowledge]:[Repeat job nahin aana]])/6</f>
        <v>2.8333333333333335</v>
      </c>
      <c r="L113" s="79">
        <f>IFERROR(AVERAGEIFS(Table1[Final Score],Table1[Month],Table1[[#This Row],[Month]],Table1[Year],Table1[[#This Row],[Year]],Table1[Mechanic Name],Table1[[#This Row],[Mechanic Name]]),"")</f>
        <v>3.2083333333333335</v>
      </c>
    </row>
    <row r="114" spans="1:12" hidden="1" x14ac:dyDescent="0.35">
      <c r="A114" s="78" t="s">
        <v>147</v>
      </c>
      <c r="B114" s="78">
        <v>2026</v>
      </c>
      <c r="C114" s="80" t="s">
        <v>146</v>
      </c>
      <c r="D114" s="78" t="s">
        <v>88</v>
      </c>
      <c r="E114" s="78">
        <v>5</v>
      </c>
      <c r="F114" s="78">
        <v>5</v>
      </c>
      <c r="G114" s="78">
        <v>3</v>
      </c>
      <c r="H114" s="78">
        <v>2</v>
      </c>
      <c r="I114" s="78">
        <v>3</v>
      </c>
      <c r="J114" s="78">
        <v>4</v>
      </c>
      <c r="K114" s="81">
        <f>SUM(Table1[[#This Row],[Technical Knowledge]:[Repeat job nahin aana]])/6</f>
        <v>3.6666666666666665</v>
      </c>
      <c r="L114" s="79">
        <f>IFERROR(AVERAGEIFS(Table1[Final Score],Table1[Month],Table1[[#This Row],[Month]],Table1[Year],Table1[[#This Row],[Year]],Table1[Mechanic Name],Table1[[#This Row],[Mechanic Name]]),"")</f>
        <v>3.708333333333333</v>
      </c>
    </row>
    <row r="115" spans="1:12" hidden="1" x14ac:dyDescent="0.35">
      <c r="A115" s="78" t="s">
        <v>147</v>
      </c>
      <c r="B115" s="78">
        <v>2026</v>
      </c>
      <c r="C115" s="80" t="s">
        <v>148</v>
      </c>
      <c r="D115" s="78" t="s">
        <v>88</v>
      </c>
      <c r="E115" s="78">
        <v>5</v>
      </c>
      <c r="F115" s="78">
        <v>5</v>
      </c>
      <c r="G115" s="78">
        <v>3</v>
      </c>
      <c r="H115" s="78">
        <v>3</v>
      </c>
      <c r="I115" s="78">
        <v>3</v>
      </c>
      <c r="J115" s="78">
        <v>5</v>
      </c>
      <c r="K115" s="81">
        <f>SUM(Table1[[#This Row],[Technical Knowledge]:[Repeat job nahin aana]])/6</f>
        <v>4</v>
      </c>
      <c r="L115" s="79">
        <f>IFERROR(AVERAGEIFS(Table1[Final Score],Table1[Month],Table1[[#This Row],[Month]],Table1[Year],Table1[[#This Row],[Year]],Table1[Mechanic Name],Table1[[#This Row],[Mechanic Name]]),"")</f>
        <v>3.708333333333333</v>
      </c>
    </row>
    <row r="116" spans="1:12" hidden="1" x14ac:dyDescent="0.35">
      <c r="A116" s="78" t="s">
        <v>147</v>
      </c>
      <c r="B116" s="78">
        <v>2026</v>
      </c>
      <c r="C116" s="80" t="s">
        <v>154</v>
      </c>
      <c r="D116" s="78" t="s">
        <v>88</v>
      </c>
      <c r="E116" s="78">
        <v>5</v>
      </c>
      <c r="F116" s="78">
        <v>5</v>
      </c>
      <c r="G116" s="78">
        <v>2</v>
      </c>
      <c r="H116" s="78">
        <v>2</v>
      </c>
      <c r="I116" s="78">
        <v>3</v>
      </c>
      <c r="J116" s="78">
        <v>5</v>
      </c>
      <c r="K116" s="81">
        <f>SUM(Table1[[#This Row],[Technical Knowledge]:[Repeat job nahin aana]])/6</f>
        <v>3.6666666666666665</v>
      </c>
      <c r="L116" s="79">
        <f>IFERROR(AVERAGEIFS(Table1[Final Score],Table1[Month],Table1[[#This Row],[Month]],Table1[Year],Table1[[#This Row],[Year]],Table1[Mechanic Name],Table1[[#This Row],[Mechanic Name]]),"")</f>
        <v>3.708333333333333</v>
      </c>
    </row>
    <row r="117" spans="1:12" x14ac:dyDescent="0.35">
      <c r="A117" s="78" t="s">
        <v>147</v>
      </c>
      <c r="B117" s="78">
        <v>2026</v>
      </c>
      <c r="C117" s="80" t="s">
        <v>155</v>
      </c>
      <c r="D117" s="78" t="s">
        <v>88</v>
      </c>
      <c r="E117" s="78">
        <v>5</v>
      </c>
      <c r="F117" s="78">
        <v>5</v>
      </c>
      <c r="G117" s="78">
        <v>2</v>
      </c>
      <c r="H117" s="78">
        <v>2</v>
      </c>
      <c r="I117" s="78">
        <v>3</v>
      </c>
      <c r="J117" s="78">
        <v>4</v>
      </c>
      <c r="K117" s="81">
        <f>SUM(Table1[[#This Row],[Technical Knowledge]:[Repeat job nahin aana]])/6</f>
        <v>3.5</v>
      </c>
      <c r="L117" s="79">
        <f>IFERROR(AVERAGEIFS(Table1[Final Score],Table1[Month],Table1[[#This Row],[Month]],Table1[Year],Table1[[#This Row],[Year]],Table1[Mechanic Name],Table1[[#This Row],[Mechanic Name]]),"")</f>
        <v>3.708333333333333</v>
      </c>
    </row>
    <row r="118" spans="1:12" hidden="1" x14ac:dyDescent="0.35">
      <c r="A118" s="78" t="s">
        <v>147</v>
      </c>
      <c r="B118" s="78">
        <v>2026</v>
      </c>
      <c r="C118" s="80" t="s">
        <v>146</v>
      </c>
      <c r="D118" s="78" t="s">
        <v>85</v>
      </c>
      <c r="E118" s="78">
        <v>4</v>
      </c>
      <c r="F118" s="78">
        <v>4</v>
      </c>
      <c r="G118" s="78">
        <v>3</v>
      </c>
      <c r="H118" s="78">
        <v>3</v>
      </c>
      <c r="I118" s="78">
        <v>3</v>
      </c>
      <c r="J118" s="78">
        <v>4</v>
      </c>
      <c r="K118" s="81">
        <f>SUM(Table1[[#This Row],[Technical Knowledge]:[Repeat job nahin aana]])/6</f>
        <v>3.5</v>
      </c>
      <c r="L118" s="79">
        <f>IFERROR(AVERAGEIFS(Table1[Final Score],Table1[Month],Table1[[#This Row],[Month]],Table1[Year],Table1[[#This Row],[Year]],Table1[Mechanic Name],Table1[[#This Row],[Mechanic Name]]),"")</f>
        <v>3.625</v>
      </c>
    </row>
    <row r="119" spans="1:12" hidden="1" x14ac:dyDescent="0.35">
      <c r="A119" s="78" t="s">
        <v>147</v>
      </c>
      <c r="B119" s="78">
        <v>2026</v>
      </c>
      <c r="C119" s="80" t="s">
        <v>148</v>
      </c>
      <c r="D119" s="78" t="s">
        <v>85</v>
      </c>
      <c r="E119" s="78">
        <v>4</v>
      </c>
      <c r="F119" s="78">
        <v>4</v>
      </c>
      <c r="G119" s="78">
        <v>3</v>
      </c>
      <c r="H119" s="78">
        <v>4</v>
      </c>
      <c r="I119" s="78">
        <v>3</v>
      </c>
      <c r="J119" s="78">
        <v>4</v>
      </c>
      <c r="K119" s="81">
        <f>SUM(Table1[[#This Row],[Technical Knowledge]:[Repeat job nahin aana]])/6</f>
        <v>3.6666666666666665</v>
      </c>
      <c r="L119" s="79">
        <f>IFERROR(AVERAGEIFS(Table1[Final Score],Table1[Month],Table1[[#This Row],[Month]],Table1[Year],Table1[[#This Row],[Year]],Table1[Mechanic Name],Table1[[#This Row],[Mechanic Name]]),"")</f>
        <v>3.625</v>
      </c>
    </row>
    <row r="120" spans="1:12" hidden="1" x14ac:dyDescent="0.35">
      <c r="A120" s="78" t="s">
        <v>147</v>
      </c>
      <c r="B120" s="78">
        <v>2026</v>
      </c>
      <c r="C120" s="80" t="s">
        <v>154</v>
      </c>
      <c r="D120" s="78" t="s">
        <v>85</v>
      </c>
      <c r="E120" s="78">
        <v>4</v>
      </c>
      <c r="F120" s="78">
        <v>4</v>
      </c>
      <c r="G120" s="78">
        <v>3</v>
      </c>
      <c r="H120" s="78">
        <v>4</v>
      </c>
      <c r="I120" s="78">
        <v>4</v>
      </c>
      <c r="J120" s="78">
        <v>4</v>
      </c>
      <c r="K120" s="81">
        <f>SUM(Table1[[#This Row],[Technical Knowledge]:[Repeat job nahin aana]])/6</f>
        <v>3.8333333333333335</v>
      </c>
      <c r="L120" s="79">
        <f>IFERROR(AVERAGEIFS(Table1[Final Score],Table1[Month],Table1[[#This Row],[Month]],Table1[Year],Table1[[#This Row],[Year]],Table1[Mechanic Name],Table1[[#This Row],[Mechanic Name]]),"")</f>
        <v>3.625</v>
      </c>
    </row>
    <row r="121" spans="1:12" x14ac:dyDescent="0.35">
      <c r="A121" s="78" t="s">
        <v>147</v>
      </c>
      <c r="B121" s="78">
        <v>2026</v>
      </c>
      <c r="C121" s="80" t="s">
        <v>155</v>
      </c>
      <c r="D121" s="78" t="s">
        <v>85</v>
      </c>
      <c r="E121" s="78">
        <v>4</v>
      </c>
      <c r="F121" s="78">
        <v>4</v>
      </c>
      <c r="G121" s="78">
        <v>3</v>
      </c>
      <c r="H121" s="78">
        <v>3</v>
      </c>
      <c r="I121" s="78">
        <v>3</v>
      </c>
      <c r="J121" s="78">
        <v>4</v>
      </c>
      <c r="K121" s="81">
        <f>SUM(Table1[[#This Row],[Technical Knowledge]:[Repeat job nahin aana]])/6</f>
        <v>3.5</v>
      </c>
      <c r="L121" s="79">
        <f>IFERROR(AVERAGEIFS(Table1[Final Score],Table1[Month],Table1[[#This Row],[Month]],Table1[Year],Table1[[#This Row],[Year]],Table1[Mechanic Name],Table1[[#This Row],[Mechanic Name]]),"")</f>
        <v>3.625</v>
      </c>
    </row>
    <row r="122" spans="1:12" hidden="1" x14ac:dyDescent="0.35">
      <c r="A122" s="78" t="s">
        <v>147</v>
      </c>
      <c r="B122" s="78">
        <v>2026</v>
      </c>
      <c r="C122" s="80" t="s">
        <v>146</v>
      </c>
      <c r="D122" s="78" t="s">
        <v>65</v>
      </c>
      <c r="E122" s="78">
        <v>4</v>
      </c>
      <c r="F122" s="78">
        <v>4</v>
      </c>
      <c r="G122" s="78">
        <v>2</v>
      </c>
      <c r="H122" s="78">
        <v>3</v>
      </c>
      <c r="I122" s="78">
        <v>2</v>
      </c>
      <c r="J122" s="78">
        <v>4</v>
      </c>
      <c r="K122" s="81">
        <f>SUM(Table1[[#This Row],[Technical Knowledge]:[Repeat job nahin aana]])/6</f>
        <v>3.1666666666666665</v>
      </c>
      <c r="L122" s="79">
        <f>IFERROR(AVERAGEIFS(Table1[Final Score],Table1[Month],Table1[[#This Row],[Month]],Table1[Year],Table1[[#This Row],[Year]],Table1[Mechanic Name],Table1[[#This Row],[Mechanic Name]]),"")</f>
        <v>3.125</v>
      </c>
    </row>
    <row r="123" spans="1:12" hidden="1" x14ac:dyDescent="0.35">
      <c r="A123" s="78" t="s">
        <v>147</v>
      </c>
      <c r="B123" s="78">
        <v>2026</v>
      </c>
      <c r="C123" s="80" t="s">
        <v>148</v>
      </c>
      <c r="D123" s="78" t="s">
        <v>65</v>
      </c>
      <c r="E123" s="78">
        <v>4</v>
      </c>
      <c r="F123" s="78">
        <v>4</v>
      </c>
      <c r="G123" s="78">
        <v>2</v>
      </c>
      <c r="H123" s="78">
        <v>3</v>
      </c>
      <c r="I123" s="78">
        <v>2</v>
      </c>
      <c r="J123" s="78">
        <v>4</v>
      </c>
      <c r="K123" s="81">
        <f>SUM(Table1[[#This Row],[Technical Knowledge]:[Repeat job nahin aana]])/6</f>
        <v>3.1666666666666665</v>
      </c>
      <c r="L123" s="79">
        <f>IFERROR(AVERAGEIFS(Table1[Final Score],Table1[Month],Table1[[#This Row],[Month]],Table1[Year],Table1[[#This Row],[Year]],Table1[Mechanic Name],Table1[[#This Row],[Mechanic Name]]),"")</f>
        <v>3.125</v>
      </c>
    </row>
    <row r="124" spans="1:12" hidden="1" x14ac:dyDescent="0.35">
      <c r="A124" s="78" t="s">
        <v>147</v>
      </c>
      <c r="B124" s="78">
        <v>2026</v>
      </c>
      <c r="C124" s="80" t="s">
        <v>154</v>
      </c>
      <c r="D124" s="78" t="s">
        <v>65</v>
      </c>
      <c r="E124" s="78">
        <v>4</v>
      </c>
      <c r="F124" s="78">
        <v>4</v>
      </c>
      <c r="G124" s="78">
        <v>2</v>
      </c>
      <c r="H124" s="78">
        <v>2</v>
      </c>
      <c r="I124" s="78">
        <v>3</v>
      </c>
      <c r="J124" s="78">
        <v>4</v>
      </c>
      <c r="K124" s="81">
        <f>SUM(Table1[[#This Row],[Technical Knowledge]:[Repeat job nahin aana]])/6</f>
        <v>3.1666666666666665</v>
      </c>
      <c r="L124" s="79">
        <f>IFERROR(AVERAGEIFS(Table1[Final Score],Table1[Month],Table1[[#This Row],[Month]],Table1[Year],Table1[[#This Row],[Year]],Table1[Mechanic Name],Table1[[#This Row],[Mechanic Name]]),"")</f>
        <v>3.125</v>
      </c>
    </row>
    <row r="125" spans="1:12" x14ac:dyDescent="0.35">
      <c r="A125" s="78" t="s">
        <v>147</v>
      </c>
      <c r="B125" s="78">
        <v>2026</v>
      </c>
      <c r="C125" s="80" t="s">
        <v>155</v>
      </c>
      <c r="D125" s="116" t="s">
        <v>65</v>
      </c>
      <c r="E125" s="78">
        <v>4</v>
      </c>
      <c r="F125" s="78">
        <v>3</v>
      </c>
      <c r="G125" s="78">
        <v>2</v>
      </c>
      <c r="H125" s="78">
        <v>3</v>
      </c>
      <c r="I125" s="78">
        <v>2</v>
      </c>
      <c r="J125" s="78">
        <v>4</v>
      </c>
      <c r="K125" s="81">
        <f>SUM(Table1[[#This Row],[Technical Knowledge]:[Repeat job nahin aana]])/6</f>
        <v>3</v>
      </c>
      <c r="L125" s="79">
        <f>IFERROR(AVERAGEIFS(Table1[Final Score],Table1[Month],Table1[[#This Row],[Month]],Table1[Year],Table1[[#This Row],[Year]],Table1[Mechanic Name],Table1[[#This Row],[Mechanic Name]]),"")</f>
        <v>3.125</v>
      </c>
    </row>
    <row r="126" spans="1:12" hidden="1" x14ac:dyDescent="0.35">
      <c r="A126" s="78" t="s">
        <v>147</v>
      </c>
      <c r="B126" s="78">
        <v>2026</v>
      </c>
      <c r="C126" s="80" t="s">
        <v>146</v>
      </c>
      <c r="D126" s="78" t="s">
        <v>72</v>
      </c>
      <c r="E126" s="78">
        <v>3</v>
      </c>
      <c r="F126" s="78">
        <v>3</v>
      </c>
      <c r="G126" s="78">
        <v>4</v>
      </c>
      <c r="H126" s="78">
        <v>4</v>
      </c>
      <c r="I126" s="78">
        <v>4</v>
      </c>
      <c r="J126" s="78">
        <v>4</v>
      </c>
      <c r="K126" s="81">
        <f>SUM(Table1[[#This Row],[Technical Knowledge]:[Repeat job nahin aana]])/6</f>
        <v>3.6666666666666665</v>
      </c>
      <c r="L126" s="79">
        <f>IFERROR(AVERAGEIFS(Table1[Final Score],Table1[Month],Table1[[#This Row],[Month]],Table1[Year],Table1[[#This Row],[Year]],Table1[Mechanic Name],Table1[[#This Row],[Mechanic Name]]),"")</f>
        <v>3.5416666666666665</v>
      </c>
    </row>
    <row r="127" spans="1:12" hidden="1" x14ac:dyDescent="0.35">
      <c r="A127" s="78" t="s">
        <v>147</v>
      </c>
      <c r="B127" s="78">
        <v>2026</v>
      </c>
      <c r="C127" s="80" t="s">
        <v>148</v>
      </c>
      <c r="D127" s="78" t="s">
        <v>72</v>
      </c>
      <c r="E127" s="78">
        <v>3</v>
      </c>
      <c r="F127" s="78">
        <v>3</v>
      </c>
      <c r="G127" s="78">
        <v>4</v>
      </c>
      <c r="H127" s="78">
        <v>4</v>
      </c>
      <c r="I127" s="78">
        <v>5</v>
      </c>
      <c r="J127" s="78">
        <v>4</v>
      </c>
      <c r="K127" s="81">
        <f>SUM(Table1[[#This Row],[Technical Knowledge]:[Repeat job nahin aana]])/6</f>
        <v>3.8333333333333335</v>
      </c>
      <c r="L127" s="79">
        <f>IFERROR(AVERAGEIFS(Table1[Final Score],Table1[Month],Table1[[#This Row],[Month]],Table1[Year],Table1[[#This Row],[Year]],Table1[Mechanic Name],Table1[[#This Row],[Mechanic Name]]),"")</f>
        <v>3.5416666666666665</v>
      </c>
    </row>
    <row r="128" spans="1:12" hidden="1" x14ac:dyDescent="0.35">
      <c r="A128" s="78" t="s">
        <v>147</v>
      </c>
      <c r="B128" s="78">
        <v>2026</v>
      </c>
      <c r="C128" s="80" t="s">
        <v>154</v>
      </c>
      <c r="D128" s="78" t="s">
        <v>72</v>
      </c>
      <c r="E128" s="78">
        <v>3</v>
      </c>
      <c r="F128" s="78">
        <v>3</v>
      </c>
      <c r="G128" s="78">
        <v>3</v>
      </c>
      <c r="H128" s="78">
        <v>4</v>
      </c>
      <c r="I128" s="78">
        <v>4</v>
      </c>
      <c r="J128" s="78">
        <v>4</v>
      </c>
      <c r="K128" s="81">
        <f>SUM(Table1[[#This Row],[Technical Knowledge]:[Repeat job nahin aana]])/6</f>
        <v>3.5</v>
      </c>
      <c r="L128" s="79">
        <f>IFERROR(AVERAGEIFS(Table1[Final Score],Table1[Month],Table1[[#This Row],[Month]],Table1[Year],Table1[[#This Row],[Year]],Table1[Mechanic Name],Table1[[#This Row],[Mechanic Name]]),"")</f>
        <v>3.5416666666666665</v>
      </c>
    </row>
    <row r="129" spans="1:12" x14ac:dyDescent="0.35">
      <c r="A129" s="78" t="s">
        <v>147</v>
      </c>
      <c r="B129" s="78">
        <v>2026</v>
      </c>
      <c r="C129" s="80" t="s">
        <v>155</v>
      </c>
      <c r="D129" s="78" t="s">
        <v>72</v>
      </c>
      <c r="E129" s="78">
        <v>3</v>
      </c>
      <c r="F129" s="78">
        <v>3</v>
      </c>
      <c r="G129" s="78">
        <v>3</v>
      </c>
      <c r="H129" s="78">
        <v>3</v>
      </c>
      <c r="I129" s="78">
        <v>4</v>
      </c>
      <c r="J129" s="78">
        <v>3</v>
      </c>
      <c r="K129" s="81">
        <f>SUM(Table1[[#This Row],[Technical Knowledge]:[Repeat job nahin aana]])/6</f>
        <v>3.1666666666666665</v>
      </c>
      <c r="L129" s="79">
        <f>IFERROR(AVERAGEIFS(Table1[Final Score],Table1[Month],Table1[[#This Row],[Month]],Table1[Year],Table1[[#This Row],[Year]],Table1[Mechanic Name],Table1[[#This Row],[Mechanic Name]]),"")</f>
        <v>3.5416666666666665</v>
      </c>
    </row>
    <row r="130" spans="1:12" hidden="1" x14ac:dyDescent="0.35">
      <c r="A130" s="78" t="s">
        <v>147</v>
      </c>
      <c r="B130" s="78">
        <v>2026</v>
      </c>
      <c r="C130" s="80" t="s">
        <v>146</v>
      </c>
      <c r="D130" s="78" t="s">
        <v>151</v>
      </c>
      <c r="E130" s="78">
        <v>1</v>
      </c>
      <c r="F130" s="78">
        <v>2</v>
      </c>
      <c r="G130" s="78">
        <v>3</v>
      </c>
      <c r="H130" s="78">
        <v>4</v>
      </c>
      <c r="I130" s="78">
        <v>3</v>
      </c>
      <c r="J130" s="78">
        <v>3</v>
      </c>
      <c r="K130" s="81">
        <f>SUM(Table1[[#This Row],[Technical Knowledge]:[Repeat job nahin aana]])/6</f>
        <v>2.6666666666666665</v>
      </c>
      <c r="L130" s="79">
        <f>IFERROR(AVERAGEIFS(Table1[Final Score],Table1[Month],Table1[[#This Row],[Month]],Table1[Year],Table1[[#This Row],[Year]],Table1[Mechanic Name],Table1[[#This Row],[Mechanic Name]]),"")</f>
        <v>2.8888888888888888</v>
      </c>
    </row>
    <row r="131" spans="1:12" hidden="1" x14ac:dyDescent="0.35">
      <c r="A131" s="78" t="s">
        <v>147</v>
      </c>
      <c r="B131" s="78">
        <v>2026</v>
      </c>
      <c r="C131" s="80" t="s">
        <v>148</v>
      </c>
      <c r="D131" s="78" t="s">
        <v>151</v>
      </c>
      <c r="E131" s="78">
        <v>2</v>
      </c>
      <c r="F131" s="78">
        <v>4</v>
      </c>
      <c r="G131" s="78">
        <v>5</v>
      </c>
      <c r="H131" s="78">
        <v>4</v>
      </c>
      <c r="I131" s="78">
        <v>3</v>
      </c>
      <c r="J131" s="78">
        <v>3</v>
      </c>
      <c r="K131" s="81">
        <f>SUM(Table1[[#This Row],[Technical Knowledge]:[Repeat job nahin aana]])/6</f>
        <v>3.5</v>
      </c>
      <c r="L131" s="79">
        <f>IFERROR(AVERAGEIFS(Table1[Final Score],Table1[Month],Table1[[#This Row],[Month]],Table1[Year],Table1[[#This Row],[Year]],Table1[Mechanic Name],Table1[[#This Row],[Mechanic Name]]),"")</f>
        <v>2.8888888888888888</v>
      </c>
    </row>
    <row r="132" spans="1:12" hidden="1" x14ac:dyDescent="0.35">
      <c r="A132" s="78" t="s">
        <v>147</v>
      </c>
      <c r="B132" s="78">
        <v>2026</v>
      </c>
      <c r="C132" s="80" t="s">
        <v>154</v>
      </c>
      <c r="D132" s="78" t="s">
        <v>151</v>
      </c>
      <c r="E132" s="78">
        <v>1</v>
      </c>
      <c r="F132" s="78">
        <v>2</v>
      </c>
      <c r="G132" s="78">
        <v>3</v>
      </c>
      <c r="H132" s="78">
        <v>3</v>
      </c>
      <c r="I132" s="78">
        <v>4</v>
      </c>
      <c r="J132" s="78">
        <v>2</v>
      </c>
      <c r="K132" s="81">
        <f>SUM(Table1[[#This Row],[Technical Knowledge]:[Repeat job nahin aana]])/6</f>
        <v>2.5</v>
      </c>
      <c r="L132" s="79">
        <f>IFERROR(AVERAGEIFS(Table1[Final Score],Table1[Month],Table1[[#This Row],[Month]],Table1[Year],Table1[[#This Row],[Year]],Table1[Mechanic Name],Table1[[#This Row],[Mechanic Name]]),"")</f>
        <v>2.8888888888888888</v>
      </c>
    </row>
    <row r="133" spans="1:12" x14ac:dyDescent="0.35">
      <c r="A133" s="78" t="s">
        <v>145</v>
      </c>
      <c r="B133" s="78">
        <v>2026</v>
      </c>
      <c r="C133" s="80" t="s">
        <v>155</v>
      </c>
      <c r="D133" s="116" t="s">
        <v>151</v>
      </c>
      <c r="E133" s="78">
        <v>1</v>
      </c>
      <c r="F133" s="78">
        <v>2</v>
      </c>
      <c r="G133" s="78">
        <v>2</v>
      </c>
      <c r="H133" s="78">
        <v>2</v>
      </c>
      <c r="I133" s="78">
        <v>3</v>
      </c>
      <c r="J133" s="78">
        <v>2</v>
      </c>
      <c r="K133" s="81">
        <f>SUM(Table1[[#This Row],[Technical Knowledge]:[Repeat job nahin aana]])/6</f>
        <v>2</v>
      </c>
      <c r="L133" s="79">
        <f>IFERROR(AVERAGEIFS(Table1[Final Score],Table1[Month],Table1[[#This Row],[Month]],Table1[Year],Table1[[#This Row],[Year]],Table1[Mechanic Name],Table1[[#This Row],[Mechanic Name]]),"")</f>
        <v>2</v>
      </c>
    </row>
    <row r="134" spans="1:12" hidden="1" x14ac:dyDescent="0.35">
      <c r="C134" s="80"/>
      <c r="K134" s="81">
        <f>SUM(Table1[[#This Row],[Technical Knowledge]:[Repeat job nahin aana]])/6</f>
        <v>0</v>
      </c>
      <c r="L134" s="79" t="str">
        <f>IFERROR(AVERAGEIFS(Table1[Final Score],Table1[Month],Table1[[#This Row],[Month]],Table1[Year],Table1[[#This Row],[Year]],Table1[Mechanic Name],Table1[[#This Row],[Mechanic Name]]),"")</f>
        <v/>
      </c>
    </row>
    <row r="135" spans="1:12" hidden="1" x14ac:dyDescent="0.35">
      <c r="C135" s="80"/>
      <c r="K135" s="81">
        <f>SUM(Table1[[#This Row],[Technical Knowledge]:[Repeat job nahin aana]])/6</f>
        <v>0</v>
      </c>
      <c r="L135" s="79" t="str">
        <f>IFERROR(AVERAGEIFS(Table1[Final Score],Table1[Month],Table1[[#This Row],[Month]],Table1[Year],Table1[[#This Row],[Year]],Table1[Mechanic Name],Table1[[#This Row],[Mechanic Name]]),"")</f>
        <v/>
      </c>
    </row>
    <row r="136" spans="1:12" hidden="1" x14ac:dyDescent="0.35">
      <c r="C136" s="80"/>
      <c r="K136" s="81">
        <f>SUM(Table1[[#This Row],[Technical Knowledge]:[Repeat job nahin aana]])/6</f>
        <v>0</v>
      </c>
      <c r="L136" s="79" t="str">
        <f>IFERROR(AVERAGEIFS(Table1[Final Score],Table1[Month],Table1[[#This Row],[Month]],Table1[Year],Table1[[#This Row],[Year]],Table1[Mechanic Name],Table1[[#This Row],[Mechanic Name]]),"")</f>
        <v/>
      </c>
    </row>
    <row r="137" spans="1:12" hidden="1" x14ac:dyDescent="0.35">
      <c r="C137" s="80"/>
      <c r="K137" s="81">
        <f>SUM(Table1[[#This Row],[Technical Knowledge]:[Repeat job nahin aana]])/6</f>
        <v>0</v>
      </c>
      <c r="L137" s="79" t="str">
        <f>IFERROR(AVERAGEIFS(Table1[Final Score],Table1[Month],Table1[[#This Row],[Month]],Table1[Year],Table1[[#This Row],[Year]],Table1[Mechanic Name],Table1[[#This Row],[Mechanic Name]]),"")</f>
        <v/>
      </c>
    </row>
    <row r="138" spans="1:12" hidden="1" x14ac:dyDescent="0.35">
      <c r="C138" s="80"/>
      <c r="K138" s="81">
        <f>SUM(Table1[[#This Row],[Technical Knowledge]:[Repeat job nahin aana]])/6</f>
        <v>0</v>
      </c>
      <c r="L138" s="79" t="str">
        <f>IFERROR(AVERAGEIFS(Table1[Final Score],Table1[Month],Table1[[#This Row],[Month]],Table1[Year],Table1[[#This Row],[Year]],Table1[Mechanic Name],Table1[[#This Row],[Mechanic Name]]),"")</f>
        <v/>
      </c>
    </row>
    <row r="139" spans="1:12" hidden="1" x14ac:dyDescent="0.35">
      <c r="C139" s="80"/>
      <c r="K139" s="81">
        <f>SUM(Table1[[#This Row],[Technical Knowledge]:[Repeat job nahin aana]])/6</f>
        <v>0</v>
      </c>
      <c r="L139" s="79" t="str">
        <f>IFERROR(AVERAGEIFS(Table1[Final Score],Table1[Month],Table1[[#This Row],[Month]],Table1[Year],Table1[[#This Row],[Year]],Table1[Mechanic Name],Table1[[#This Row],[Mechanic Name]]),"")</f>
        <v/>
      </c>
    </row>
    <row r="140" spans="1:12" hidden="1" x14ac:dyDescent="0.35">
      <c r="C140" s="80"/>
      <c r="K140" s="81">
        <f>SUM(Table1[[#This Row],[Technical Knowledge]:[Repeat job nahin aana]])/6</f>
        <v>0</v>
      </c>
      <c r="L140" s="79" t="str">
        <f>IFERROR(AVERAGEIFS(Table1[Final Score],Table1[Month],Table1[[#This Row],[Month]],Table1[Year],Table1[[#This Row],[Year]],Table1[Mechanic Name],Table1[[#This Row],[Mechanic Name]]),"")</f>
        <v/>
      </c>
    </row>
    <row r="141" spans="1:12" hidden="1" x14ac:dyDescent="0.35">
      <c r="C141" s="80"/>
      <c r="K141" s="81">
        <f>SUM(Table1[[#This Row],[Technical Knowledge]:[Repeat job nahin aana]])/6</f>
        <v>0</v>
      </c>
      <c r="L141" s="79" t="str">
        <f>IFERROR(AVERAGEIFS(Table1[Final Score],Table1[Month],Table1[[#This Row],[Month]],Table1[Year],Table1[[#This Row],[Year]],Table1[Mechanic Name],Table1[[#This Row],[Mechanic Name]]),"")</f>
        <v/>
      </c>
    </row>
    <row r="142" spans="1:12" hidden="1" x14ac:dyDescent="0.35">
      <c r="C142" s="80"/>
      <c r="K142" s="81">
        <f>SUM(Table1[[#This Row],[Technical Knowledge]:[Repeat job nahin aana]])/6</f>
        <v>0</v>
      </c>
      <c r="L142" s="79" t="str">
        <f>IFERROR(AVERAGEIFS(Table1[Final Score],Table1[Month],Table1[[#This Row],[Month]],Table1[Year],Table1[[#This Row],[Year]],Table1[Mechanic Name],Table1[[#This Row],[Mechanic Name]]),"")</f>
        <v/>
      </c>
    </row>
    <row r="143" spans="1:12" hidden="1" x14ac:dyDescent="0.35">
      <c r="C143" s="80"/>
      <c r="K143" s="81">
        <f>SUM(Table1[[#This Row],[Technical Knowledge]:[Repeat job nahin aana]])/6</f>
        <v>0</v>
      </c>
      <c r="L143" s="79" t="str">
        <f>IFERROR(AVERAGEIFS(Table1[Final Score],Table1[Month],Table1[[#This Row],[Month]],Table1[Year],Table1[[#This Row],[Year]],Table1[Mechanic Name],Table1[[#This Row],[Mechanic Name]]),"")</f>
        <v/>
      </c>
    </row>
    <row r="144" spans="1:12" hidden="1" x14ac:dyDescent="0.35">
      <c r="C144" s="80"/>
      <c r="K144" s="81">
        <f>SUM(Table1[[#This Row],[Technical Knowledge]:[Repeat job nahin aana]])/6</f>
        <v>0</v>
      </c>
      <c r="L144" s="79" t="str">
        <f>IFERROR(AVERAGEIFS(Table1[Final Score],Table1[Month],Table1[[#This Row],[Month]],Table1[Year],Table1[[#This Row],[Year]],Table1[Mechanic Name],Table1[[#This Row],[Mechanic Name]]),"")</f>
        <v/>
      </c>
    </row>
    <row r="145" spans="3:12" hidden="1" x14ac:dyDescent="0.35">
      <c r="C145" s="80"/>
      <c r="K145" s="81">
        <f>SUM(Table1[[#This Row],[Technical Knowledge]:[Repeat job nahin aana]])/6</f>
        <v>0</v>
      </c>
      <c r="L145" s="79" t="str">
        <f>IFERROR(AVERAGEIFS(Table1[Final Score],Table1[Month],Table1[[#This Row],[Month]],Table1[Year],Table1[[#This Row],[Year]],Table1[Mechanic Name],Table1[[#This Row],[Mechanic Name]]),"")</f>
        <v/>
      </c>
    </row>
    <row r="146" spans="3:12" hidden="1" x14ac:dyDescent="0.35">
      <c r="C146" s="80"/>
      <c r="K146" s="81">
        <f>SUM(Table1[[#This Row],[Technical Knowledge]:[Repeat job nahin aana]])/6</f>
        <v>0</v>
      </c>
      <c r="L146" s="79" t="str">
        <f>IFERROR(AVERAGEIFS(Table1[Final Score],Table1[Month],Table1[[#This Row],[Month]],Table1[Year],Table1[[#This Row],[Year]],Table1[Mechanic Name],Table1[[#This Row],[Mechanic Name]]),"")</f>
        <v/>
      </c>
    </row>
    <row r="147" spans="3:12" hidden="1" x14ac:dyDescent="0.35">
      <c r="C147" s="80"/>
      <c r="K147" s="81">
        <f>SUM(Table1[[#This Row],[Technical Knowledge]:[Repeat job nahin aana]])/6</f>
        <v>0</v>
      </c>
      <c r="L147" s="79" t="str">
        <f>IFERROR(AVERAGEIFS(Table1[Final Score],Table1[Month],Table1[[#This Row],[Month]],Table1[Year],Table1[[#This Row],[Year]],Table1[Mechanic Name],Table1[[#This Row],[Mechanic Name]]),"")</f>
        <v/>
      </c>
    </row>
    <row r="148" spans="3:12" hidden="1" x14ac:dyDescent="0.35">
      <c r="C148" s="80"/>
      <c r="K148" s="81">
        <f>SUM(Table1[[#This Row],[Technical Knowledge]:[Repeat job nahin aana]])/6</f>
        <v>0</v>
      </c>
      <c r="L148" s="79" t="str">
        <f>IFERROR(AVERAGEIFS(Table1[Final Score],Table1[Month],Table1[[#This Row],[Month]],Table1[Year],Table1[[#This Row],[Year]],Table1[Mechanic Name],Table1[[#This Row],[Mechanic Name]]),"")</f>
        <v/>
      </c>
    </row>
    <row r="149" spans="3:12" hidden="1" x14ac:dyDescent="0.35">
      <c r="C149" s="80"/>
      <c r="K149" s="81">
        <f>SUM(Table1[[#This Row],[Technical Knowledge]:[Repeat job nahin aana]])/6</f>
        <v>0</v>
      </c>
      <c r="L149" s="79" t="str">
        <f>IFERROR(AVERAGEIFS(Table1[Final Score],Table1[Month],Table1[[#This Row],[Month]],Table1[Year],Table1[[#This Row],[Year]],Table1[Mechanic Name],Table1[[#This Row],[Mechanic Name]]),"")</f>
        <v/>
      </c>
    </row>
    <row r="150" spans="3:12" hidden="1" x14ac:dyDescent="0.35">
      <c r="C150" s="80"/>
      <c r="K150" s="81">
        <f>SUM(Table1[[#This Row],[Technical Knowledge]:[Repeat job nahin aana]])/6</f>
        <v>0</v>
      </c>
      <c r="L150" s="79" t="str">
        <f>IFERROR(AVERAGEIFS(Table1[Final Score],Table1[Month],Table1[[#This Row],[Month]],Table1[Year],Table1[[#This Row],[Year]],Table1[Mechanic Name],Table1[[#This Row],[Mechanic Name]]),"")</f>
        <v/>
      </c>
    </row>
    <row r="151" spans="3:12" hidden="1" x14ac:dyDescent="0.35">
      <c r="C151" s="80"/>
      <c r="K151" s="81">
        <f>SUM(Table1[[#This Row],[Technical Knowledge]:[Repeat job nahin aana]])/6</f>
        <v>0</v>
      </c>
      <c r="L151" s="79" t="str">
        <f>IFERROR(AVERAGEIFS(Table1[Final Score],Table1[Month],Table1[[#This Row],[Month]],Table1[Year],Table1[[#This Row],[Year]],Table1[Mechanic Name],Table1[[#This Row],[Mechanic Name]]),"")</f>
        <v/>
      </c>
    </row>
    <row r="152" spans="3:12" hidden="1" x14ac:dyDescent="0.35">
      <c r="C152" s="80"/>
      <c r="K152" s="81">
        <f>SUM(Table1[[#This Row],[Technical Knowledge]:[Repeat job nahin aana]])/6</f>
        <v>0</v>
      </c>
      <c r="L152" s="79" t="str">
        <f>IFERROR(AVERAGEIFS(Table1[Final Score],Table1[Month],Table1[[#This Row],[Month]],Table1[Year],Table1[[#This Row],[Year]],Table1[Mechanic Name],Table1[[#This Row],[Mechanic Name]]),"")</f>
        <v/>
      </c>
    </row>
    <row r="153" spans="3:12" hidden="1" x14ac:dyDescent="0.35">
      <c r="C153" s="80"/>
      <c r="K153" s="81">
        <f>SUM(Table1[[#This Row],[Technical Knowledge]:[Repeat job nahin aana]])/6</f>
        <v>0</v>
      </c>
      <c r="L153" s="79" t="str">
        <f>IFERROR(AVERAGEIFS(Table1[Final Score],Table1[Month],Table1[[#This Row],[Month]],Table1[Year],Table1[[#This Row],[Year]],Table1[Mechanic Name],Table1[[#This Row],[Mechanic Name]]),"")</f>
        <v/>
      </c>
    </row>
    <row r="154" spans="3:12" hidden="1" x14ac:dyDescent="0.35">
      <c r="C154" s="80"/>
      <c r="K154" s="81">
        <f>SUM(Table1[[#This Row],[Technical Knowledge]:[Repeat job nahin aana]])/6</f>
        <v>0</v>
      </c>
      <c r="L154" s="79" t="str">
        <f>IFERROR(AVERAGEIFS(Table1[Final Score],Table1[Month],Table1[[#This Row],[Month]],Table1[Year],Table1[[#This Row],[Year]],Table1[Mechanic Name],Table1[[#This Row],[Mechanic Name]]),"")</f>
        <v/>
      </c>
    </row>
    <row r="155" spans="3:12" hidden="1" x14ac:dyDescent="0.35">
      <c r="C155" s="80"/>
      <c r="K155" s="81">
        <f>SUM(Table1[[#This Row],[Technical Knowledge]:[Repeat job nahin aana]])/6</f>
        <v>0</v>
      </c>
      <c r="L155" s="79" t="str">
        <f>IFERROR(AVERAGEIFS(Table1[Final Score],Table1[Month],Table1[[#This Row],[Month]],Table1[Year],Table1[[#This Row],[Year]],Table1[Mechanic Name],Table1[[#This Row],[Mechanic Name]]),"")</f>
        <v/>
      </c>
    </row>
    <row r="156" spans="3:12" hidden="1" x14ac:dyDescent="0.35">
      <c r="C156" s="80"/>
      <c r="K156" s="81">
        <f>SUM(Table1[[#This Row],[Technical Knowledge]:[Repeat job nahin aana]])/6</f>
        <v>0</v>
      </c>
      <c r="L156" s="79" t="str">
        <f>IFERROR(AVERAGEIFS(Table1[Final Score],Table1[Month],Table1[[#This Row],[Month]],Table1[Year],Table1[[#This Row],[Year]],Table1[Mechanic Name],Table1[[#This Row],[Mechanic Name]]),"")</f>
        <v/>
      </c>
    </row>
    <row r="157" spans="3:12" hidden="1" x14ac:dyDescent="0.35">
      <c r="C157" s="80"/>
      <c r="K157" s="81">
        <f>SUM(Table1[[#This Row],[Technical Knowledge]:[Repeat job nahin aana]])/6</f>
        <v>0</v>
      </c>
      <c r="L157" s="79" t="str">
        <f>IFERROR(AVERAGEIFS(Table1[Final Score],Table1[Month],Table1[[#This Row],[Month]],Table1[Year],Table1[[#This Row],[Year]],Table1[Mechanic Name],Table1[[#This Row],[Mechanic Name]]),"")</f>
        <v/>
      </c>
    </row>
    <row r="158" spans="3:12" hidden="1" x14ac:dyDescent="0.35">
      <c r="C158" s="80"/>
      <c r="K158" s="81">
        <f>SUM(Table1[[#This Row],[Technical Knowledge]:[Repeat job nahin aana]])/6</f>
        <v>0</v>
      </c>
      <c r="L158" s="79" t="str">
        <f>IFERROR(AVERAGEIFS(Table1[Final Score],Table1[Month],Table1[[#This Row],[Month]],Table1[Year],Table1[[#This Row],[Year]],Table1[Mechanic Name],Table1[[#This Row],[Mechanic Name]]),"")</f>
        <v/>
      </c>
    </row>
    <row r="159" spans="3:12" hidden="1" x14ac:dyDescent="0.35">
      <c r="C159" s="80"/>
      <c r="K159" s="81">
        <f>SUM(Table1[[#This Row],[Technical Knowledge]:[Repeat job nahin aana]])/6</f>
        <v>0</v>
      </c>
      <c r="L159" s="79" t="str">
        <f>IFERROR(AVERAGEIFS(Table1[Final Score],Table1[Month],Table1[[#This Row],[Month]],Table1[Year],Table1[[#This Row],[Year]],Table1[Mechanic Name],Table1[[#This Row],[Mechanic Name]]),"")</f>
        <v/>
      </c>
    </row>
    <row r="160" spans="3:12" hidden="1" x14ac:dyDescent="0.35">
      <c r="C160" s="80"/>
      <c r="K160" s="81">
        <f>SUM(Table1[[#This Row],[Technical Knowledge]:[Repeat job nahin aana]])/6</f>
        <v>0</v>
      </c>
      <c r="L160" s="79" t="str">
        <f>IFERROR(AVERAGEIFS(Table1[Final Score],Table1[Month],Table1[[#This Row],[Month]],Table1[Year],Table1[[#This Row],[Year]],Table1[Mechanic Name],Table1[[#This Row],[Mechanic Name]]),"")</f>
        <v/>
      </c>
    </row>
    <row r="161" spans="3:12" hidden="1" x14ac:dyDescent="0.35">
      <c r="C161" s="80"/>
      <c r="K161" s="81">
        <f>SUM(Table1[[#This Row],[Technical Knowledge]:[Repeat job nahin aana]])/6</f>
        <v>0</v>
      </c>
      <c r="L161" s="79" t="str">
        <f>IFERROR(AVERAGEIFS(Table1[Final Score],Table1[Month],Table1[[#This Row],[Month]],Table1[Year],Table1[[#This Row],[Year]],Table1[Mechanic Name],Table1[[#This Row],[Mechanic Name]]),"")</f>
        <v/>
      </c>
    </row>
    <row r="162" spans="3:12" hidden="1" x14ac:dyDescent="0.35">
      <c r="C162" s="80"/>
      <c r="K162" s="81">
        <f>SUM(Table1[[#This Row],[Technical Knowledge]:[Repeat job nahin aana]])/6</f>
        <v>0</v>
      </c>
      <c r="L162" s="79" t="str">
        <f>IFERROR(AVERAGEIFS(Table1[Final Score],Table1[Month],Table1[[#This Row],[Month]],Table1[Year],Table1[[#This Row],[Year]],Table1[Mechanic Name],Table1[[#This Row],[Mechanic Name]]),"")</f>
        <v/>
      </c>
    </row>
    <row r="163" spans="3:12" hidden="1" x14ac:dyDescent="0.35">
      <c r="C163" s="80"/>
      <c r="K163" s="81">
        <f>SUM(Table1[[#This Row],[Technical Knowledge]:[Repeat job nahin aana]])/6</f>
        <v>0</v>
      </c>
      <c r="L163" s="79" t="str">
        <f>IFERROR(AVERAGEIFS(Table1[Final Score],Table1[Month],Table1[[#This Row],[Month]],Table1[Year],Table1[[#This Row],[Year]],Table1[Mechanic Name],Table1[[#This Row],[Mechanic Name]]),"")</f>
        <v/>
      </c>
    </row>
    <row r="164" spans="3:12" hidden="1" x14ac:dyDescent="0.35">
      <c r="C164" s="80"/>
      <c r="K164" s="81">
        <f>SUM(Table1[[#This Row],[Technical Knowledge]:[Repeat job nahin aana]])/6</f>
        <v>0</v>
      </c>
      <c r="L164" s="79" t="str">
        <f>IFERROR(AVERAGEIFS(Table1[Final Score],Table1[Month],Table1[[#This Row],[Month]],Table1[Year],Table1[[#This Row],[Year]],Table1[Mechanic Name],Table1[[#This Row],[Mechanic Name]]),"")</f>
        <v/>
      </c>
    </row>
    <row r="165" spans="3:12" hidden="1" x14ac:dyDescent="0.35">
      <c r="C165" s="80"/>
      <c r="K165" s="81">
        <f>SUM(Table1[[#This Row],[Technical Knowledge]:[Repeat job nahin aana]])/6</f>
        <v>0</v>
      </c>
      <c r="L165" s="79" t="str">
        <f>IFERROR(AVERAGEIFS(Table1[Final Score],Table1[Month],Table1[[#This Row],[Month]],Table1[Year],Table1[[#This Row],[Year]],Table1[Mechanic Name],Table1[[#This Row],[Mechanic Name]]),"")</f>
        <v/>
      </c>
    </row>
    <row r="166" spans="3:12" hidden="1" x14ac:dyDescent="0.35">
      <c r="C166" s="80"/>
      <c r="K166" s="81">
        <f>SUM(Table1[[#This Row],[Technical Knowledge]:[Repeat job nahin aana]])/6</f>
        <v>0</v>
      </c>
      <c r="L166" s="79" t="str">
        <f>IFERROR(AVERAGEIFS(Table1[Final Score],Table1[Month],Table1[[#This Row],[Month]],Table1[Year],Table1[[#This Row],[Year]],Table1[Mechanic Name],Table1[[#This Row],[Mechanic Name]]),"")</f>
        <v/>
      </c>
    </row>
    <row r="167" spans="3:12" hidden="1" x14ac:dyDescent="0.35">
      <c r="C167" s="80"/>
      <c r="K167" s="81">
        <f>SUM(Table1[[#This Row],[Technical Knowledge]:[Repeat job nahin aana]])/6</f>
        <v>0</v>
      </c>
      <c r="L167" s="79" t="str">
        <f>IFERROR(AVERAGEIFS(Table1[Final Score],Table1[Month],Table1[[#This Row],[Month]],Table1[Year],Table1[[#This Row],[Year]],Table1[Mechanic Name],Table1[[#This Row],[Mechanic Name]]),"")</f>
        <v/>
      </c>
    </row>
    <row r="168" spans="3:12" hidden="1" x14ac:dyDescent="0.35">
      <c r="C168" s="80"/>
      <c r="K168" s="81">
        <f>SUM(Table1[[#This Row],[Technical Knowledge]:[Repeat job nahin aana]])/6</f>
        <v>0</v>
      </c>
      <c r="L168" s="79" t="str">
        <f>IFERROR(AVERAGEIFS(Table1[Final Score],Table1[Month],Table1[[#This Row],[Month]],Table1[Year],Table1[[#This Row],[Year]],Table1[Mechanic Name],Table1[[#This Row],[Mechanic Name]]),"")</f>
        <v/>
      </c>
    </row>
    <row r="169" spans="3:12" hidden="1" x14ac:dyDescent="0.35">
      <c r="C169" s="80"/>
      <c r="K169" s="81">
        <f>SUM(Table1[[#This Row],[Technical Knowledge]:[Repeat job nahin aana]])/6</f>
        <v>0</v>
      </c>
      <c r="L169" s="79" t="str">
        <f>IFERROR(AVERAGEIFS(Table1[Final Score],Table1[Month],Table1[[#This Row],[Month]],Table1[Year],Table1[[#This Row],[Year]],Table1[Mechanic Name],Table1[[#This Row],[Mechanic Name]]),"")</f>
        <v/>
      </c>
    </row>
    <row r="170" spans="3:12" hidden="1" x14ac:dyDescent="0.35">
      <c r="C170" s="80"/>
      <c r="K170" s="81">
        <f>SUM(Table1[[#This Row],[Technical Knowledge]:[Repeat job nahin aana]])/6</f>
        <v>0</v>
      </c>
      <c r="L170" s="79" t="str">
        <f>IFERROR(AVERAGEIFS(Table1[Final Score],Table1[Month],Table1[[#This Row],[Month]],Table1[Year],Table1[[#This Row],[Year]],Table1[Mechanic Name],Table1[[#This Row],[Mechanic Name]]),"")</f>
        <v/>
      </c>
    </row>
    <row r="171" spans="3:12" hidden="1" x14ac:dyDescent="0.35">
      <c r="C171" s="80"/>
      <c r="K171" s="81">
        <f>SUM(Table1[[#This Row],[Technical Knowledge]:[Repeat job nahin aana]])/6</f>
        <v>0</v>
      </c>
      <c r="L171" s="79" t="str">
        <f>IFERROR(AVERAGEIFS(Table1[Final Score],Table1[Month],Table1[[#This Row],[Month]],Table1[Year],Table1[[#This Row],[Year]],Table1[Mechanic Name],Table1[[#This Row],[Mechanic Name]]),"")</f>
        <v/>
      </c>
    </row>
    <row r="172" spans="3:12" hidden="1" x14ac:dyDescent="0.35">
      <c r="C172" s="80"/>
      <c r="K172" s="81">
        <f>SUM(Table1[[#This Row],[Technical Knowledge]:[Repeat job nahin aana]])/6</f>
        <v>0</v>
      </c>
      <c r="L172" s="79" t="str">
        <f>IFERROR(AVERAGEIFS(Table1[Final Score],Table1[Month],Table1[[#This Row],[Month]],Table1[Year],Table1[[#This Row],[Year]],Table1[Mechanic Name],Table1[[#This Row],[Mechanic Name]]),"")</f>
        <v/>
      </c>
    </row>
    <row r="173" spans="3:12" hidden="1" x14ac:dyDescent="0.35">
      <c r="C173" s="80"/>
      <c r="K173" s="81">
        <f>SUM(Table1[[#This Row],[Technical Knowledge]:[Repeat job nahin aana]])/6</f>
        <v>0</v>
      </c>
      <c r="L173" s="79" t="str">
        <f>IFERROR(AVERAGEIFS(Table1[Final Score],Table1[Month],Table1[[#This Row],[Month]],Table1[Year],Table1[[#This Row],[Year]],Table1[Mechanic Name],Table1[[#This Row],[Mechanic Name]]),"")</f>
        <v/>
      </c>
    </row>
    <row r="174" spans="3:12" hidden="1" x14ac:dyDescent="0.35">
      <c r="C174" s="80"/>
      <c r="K174" s="81">
        <f>SUM(Table1[[#This Row],[Technical Knowledge]:[Repeat job nahin aana]])/6</f>
        <v>0</v>
      </c>
      <c r="L174" s="79" t="str">
        <f>IFERROR(AVERAGEIFS(Table1[Final Score],Table1[Month],Table1[[#This Row],[Month]],Table1[Year],Table1[[#This Row],[Year]],Table1[Mechanic Name],Table1[[#This Row],[Mechanic Name]]),"")</f>
        <v/>
      </c>
    </row>
    <row r="175" spans="3:12" hidden="1" x14ac:dyDescent="0.35">
      <c r="C175" s="80"/>
      <c r="K175" s="81">
        <f>SUM(Table1[[#This Row],[Technical Knowledge]:[Repeat job nahin aana]])/6</f>
        <v>0</v>
      </c>
      <c r="L175" s="79" t="str">
        <f>IFERROR(AVERAGEIFS(Table1[Final Score],Table1[Month],Table1[[#This Row],[Month]],Table1[Year],Table1[[#This Row],[Year]],Table1[Mechanic Name],Table1[[#This Row],[Mechanic Name]]),"")</f>
        <v/>
      </c>
    </row>
    <row r="176" spans="3:12" hidden="1" x14ac:dyDescent="0.35">
      <c r="C176" s="80"/>
      <c r="K176" s="81">
        <f>SUM(Table1[[#This Row],[Technical Knowledge]:[Repeat job nahin aana]])/6</f>
        <v>0</v>
      </c>
      <c r="L176" s="79" t="str">
        <f>IFERROR(AVERAGEIFS(Table1[Final Score],Table1[Month],Table1[[#This Row],[Month]],Table1[Year],Table1[[#This Row],[Year]],Table1[Mechanic Name],Table1[[#This Row],[Mechanic Name]]),"")</f>
        <v/>
      </c>
    </row>
    <row r="177" spans="3:12" hidden="1" x14ac:dyDescent="0.35">
      <c r="C177" s="80"/>
      <c r="K177" s="81">
        <f>SUM(Table1[[#This Row],[Technical Knowledge]:[Repeat job nahin aana]])/6</f>
        <v>0</v>
      </c>
      <c r="L177" s="79" t="str">
        <f>IFERROR(AVERAGEIFS(Table1[Final Score],Table1[Month],Table1[[#This Row],[Month]],Table1[Year],Table1[[#This Row],[Year]],Table1[Mechanic Name],Table1[[#This Row],[Mechanic Name]]),"")</f>
        <v/>
      </c>
    </row>
    <row r="178" spans="3:12" hidden="1" x14ac:dyDescent="0.35">
      <c r="C178" s="80"/>
      <c r="K178" s="81">
        <f>SUM(Table1[[#This Row],[Technical Knowledge]:[Repeat job nahin aana]])/6</f>
        <v>0</v>
      </c>
      <c r="L178" s="79" t="str">
        <f>IFERROR(AVERAGEIFS(Table1[Final Score],Table1[Month],Table1[[#This Row],[Month]],Table1[Year],Table1[[#This Row],[Year]],Table1[Mechanic Name],Table1[[#This Row],[Mechanic Name]]),"")</f>
        <v/>
      </c>
    </row>
    <row r="179" spans="3:12" hidden="1" x14ac:dyDescent="0.35">
      <c r="C179" s="80"/>
      <c r="K179" s="81">
        <f>SUM(Table1[[#This Row],[Technical Knowledge]:[Repeat job nahin aana]])/6</f>
        <v>0</v>
      </c>
      <c r="L179" s="79" t="str">
        <f>IFERROR(AVERAGEIFS(Table1[Final Score],Table1[Month],Table1[[#This Row],[Month]],Table1[Year],Table1[[#This Row],[Year]],Table1[Mechanic Name],Table1[[#This Row],[Mechanic Name]]),"")</f>
        <v/>
      </c>
    </row>
    <row r="180" spans="3:12" hidden="1" x14ac:dyDescent="0.35">
      <c r="C180" s="80"/>
      <c r="K180" s="81">
        <f>SUM(Table1[[#This Row],[Technical Knowledge]:[Repeat job nahin aana]])/6</f>
        <v>0</v>
      </c>
      <c r="L180" s="79" t="str">
        <f>IFERROR(AVERAGEIFS(Table1[Final Score],Table1[Month],Table1[[#This Row],[Month]],Table1[Year],Table1[[#This Row],[Year]],Table1[Mechanic Name],Table1[[#This Row],[Mechanic Name]]),"")</f>
        <v/>
      </c>
    </row>
    <row r="181" spans="3:12" hidden="1" x14ac:dyDescent="0.35">
      <c r="C181" s="80"/>
      <c r="K181" s="81">
        <f>SUM(Table1[[#This Row],[Technical Knowledge]:[Repeat job nahin aana]])/6</f>
        <v>0</v>
      </c>
      <c r="L181" s="79" t="str">
        <f>IFERROR(AVERAGEIFS(Table1[Final Score],Table1[Month],Table1[[#This Row],[Month]],Table1[Year],Table1[[#This Row],[Year]],Table1[Mechanic Name],Table1[[#This Row],[Mechanic Name]]),"")</f>
        <v/>
      </c>
    </row>
    <row r="182" spans="3:12" hidden="1" x14ac:dyDescent="0.35">
      <c r="C182" s="80"/>
      <c r="K182" s="81">
        <f>SUM(Table1[[#This Row],[Technical Knowledge]:[Repeat job nahin aana]])/6</f>
        <v>0</v>
      </c>
      <c r="L182" s="79" t="str">
        <f>IFERROR(AVERAGEIFS(Table1[Final Score],Table1[Month],Table1[[#This Row],[Month]],Table1[Year],Table1[[#This Row],[Year]],Table1[Mechanic Name],Table1[[#This Row],[Mechanic Name]]),"")</f>
        <v/>
      </c>
    </row>
    <row r="183" spans="3:12" hidden="1" x14ac:dyDescent="0.35">
      <c r="C183" s="80"/>
      <c r="K183" s="81">
        <f>SUM(Table1[[#This Row],[Technical Knowledge]:[Repeat job nahin aana]])/6</f>
        <v>0</v>
      </c>
      <c r="L183" s="79" t="str">
        <f>IFERROR(AVERAGEIFS(Table1[Final Score],Table1[Month],Table1[[#This Row],[Month]],Table1[Year],Table1[[#This Row],[Year]],Table1[Mechanic Name],Table1[[#This Row],[Mechanic Name]]),"")</f>
        <v/>
      </c>
    </row>
    <row r="184" spans="3:12" hidden="1" x14ac:dyDescent="0.35">
      <c r="C184" s="80"/>
      <c r="K184" s="81">
        <f>SUM(Table1[[#This Row],[Technical Knowledge]:[Repeat job nahin aana]])/6</f>
        <v>0</v>
      </c>
      <c r="L184" s="79" t="str">
        <f>IFERROR(AVERAGEIFS(Table1[Final Score],Table1[Month],Table1[[#This Row],[Month]],Table1[Year],Table1[[#This Row],[Year]],Table1[Mechanic Name],Table1[[#This Row],[Mechanic Name]]),"")</f>
        <v/>
      </c>
    </row>
    <row r="185" spans="3:12" hidden="1" x14ac:dyDescent="0.35">
      <c r="C185" s="80"/>
      <c r="K185" s="81">
        <f>SUM(Table1[[#This Row],[Technical Knowledge]:[Repeat job nahin aana]])/6</f>
        <v>0</v>
      </c>
      <c r="L185" s="79" t="str">
        <f>IFERROR(AVERAGEIFS(Table1[Final Score],Table1[Month],Table1[[#This Row],[Month]],Table1[Year],Table1[[#This Row],[Year]],Table1[Mechanic Name],Table1[[#This Row],[Mechanic Name]]),"")</f>
        <v/>
      </c>
    </row>
    <row r="186" spans="3:12" hidden="1" x14ac:dyDescent="0.35">
      <c r="C186" s="80"/>
      <c r="K186" s="81">
        <f>SUM(Table1[[#This Row],[Technical Knowledge]:[Repeat job nahin aana]])/6</f>
        <v>0</v>
      </c>
      <c r="L186" s="79" t="str">
        <f>IFERROR(AVERAGEIFS(Table1[Final Score],Table1[Month],Table1[[#This Row],[Month]],Table1[Year],Table1[[#This Row],[Year]],Table1[Mechanic Name],Table1[[#This Row],[Mechanic Name]]),"")</f>
        <v/>
      </c>
    </row>
    <row r="187" spans="3:12" hidden="1" x14ac:dyDescent="0.35">
      <c r="C187" s="80"/>
      <c r="K187" s="81">
        <f>SUM(Table1[[#This Row],[Technical Knowledge]:[Repeat job nahin aana]])/6</f>
        <v>0</v>
      </c>
      <c r="L187" s="79" t="str">
        <f>IFERROR(AVERAGEIFS(Table1[Final Score],Table1[Month],Table1[[#This Row],[Month]],Table1[Year],Table1[[#This Row],[Year]],Table1[Mechanic Name],Table1[[#This Row],[Mechanic Name]]),"")</f>
        <v/>
      </c>
    </row>
    <row r="188" spans="3:12" hidden="1" x14ac:dyDescent="0.35">
      <c r="C188" s="80"/>
      <c r="K188" s="81">
        <f>SUM(Table1[[#This Row],[Technical Knowledge]:[Repeat job nahin aana]])/6</f>
        <v>0</v>
      </c>
      <c r="L188" s="79" t="str">
        <f>IFERROR(AVERAGEIFS(Table1[Final Score],Table1[Month],Table1[[#This Row],[Month]],Table1[Year],Table1[[#This Row],[Year]],Table1[Mechanic Name],Table1[[#This Row],[Mechanic Name]]),"")</f>
        <v/>
      </c>
    </row>
    <row r="189" spans="3:12" hidden="1" x14ac:dyDescent="0.35">
      <c r="C189" s="80"/>
      <c r="K189" s="81">
        <f>SUM(Table1[[#This Row],[Technical Knowledge]:[Repeat job nahin aana]])/6</f>
        <v>0</v>
      </c>
      <c r="L189" s="79" t="str">
        <f>IFERROR(AVERAGEIFS(Table1[Final Score],Table1[Month],Table1[[#This Row],[Month]],Table1[Year],Table1[[#This Row],[Year]],Table1[Mechanic Name],Table1[[#This Row],[Mechanic Name]]),"")</f>
        <v/>
      </c>
    </row>
    <row r="190" spans="3:12" hidden="1" x14ac:dyDescent="0.35">
      <c r="C190" s="80"/>
      <c r="K190" s="81">
        <f>SUM(Table1[[#This Row],[Technical Knowledge]:[Repeat job nahin aana]])/6</f>
        <v>0</v>
      </c>
      <c r="L190" s="79" t="str">
        <f>IFERROR(AVERAGEIFS(Table1[Final Score],Table1[Month],Table1[[#This Row],[Month]],Table1[Year],Table1[[#This Row],[Year]],Table1[Mechanic Name],Table1[[#This Row],[Mechanic Name]]),"")</f>
        <v/>
      </c>
    </row>
    <row r="191" spans="3:12" hidden="1" x14ac:dyDescent="0.35">
      <c r="C191" s="80"/>
      <c r="K191" s="81">
        <f>SUM(Table1[[#This Row],[Technical Knowledge]:[Repeat job nahin aana]])/6</f>
        <v>0</v>
      </c>
      <c r="L191" s="79" t="str">
        <f>IFERROR(AVERAGEIFS(Table1[Final Score],Table1[Month],Table1[[#This Row],[Month]],Table1[Year],Table1[[#This Row],[Year]],Table1[Mechanic Name],Table1[[#This Row],[Mechanic Name]]),"")</f>
        <v/>
      </c>
    </row>
    <row r="192" spans="3:12" hidden="1" x14ac:dyDescent="0.35">
      <c r="C192" s="80"/>
      <c r="K192" s="81">
        <f>SUM(Table1[[#This Row],[Technical Knowledge]:[Repeat job nahin aana]])/6</f>
        <v>0</v>
      </c>
      <c r="L192" s="79" t="str">
        <f>IFERROR(AVERAGEIFS(Table1[Final Score],Table1[Month],Table1[[#This Row],[Month]],Table1[Year],Table1[[#This Row],[Year]],Table1[Mechanic Name],Table1[[#This Row],[Mechanic Name]]),"")</f>
        <v/>
      </c>
    </row>
    <row r="193" spans="3:12" hidden="1" x14ac:dyDescent="0.35">
      <c r="C193" s="80"/>
      <c r="K193" s="81">
        <f>SUM(Table1[[#This Row],[Technical Knowledge]:[Repeat job nahin aana]])/6</f>
        <v>0</v>
      </c>
      <c r="L193" s="79" t="str">
        <f>IFERROR(AVERAGEIFS(Table1[Final Score],Table1[Month],Table1[[#This Row],[Month]],Table1[Year],Table1[[#This Row],[Year]],Table1[Mechanic Name],Table1[[#This Row],[Mechanic Name]]),"")</f>
        <v/>
      </c>
    </row>
    <row r="194" spans="3:12" hidden="1" x14ac:dyDescent="0.35">
      <c r="C194" s="80"/>
      <c r="K194" s="81">
        <f>SUM(Table1[[#This Row],[Technical Knowledge]:[Repeat job nahin aana]])/6</f>
        <v>0</v>
      </c>
      <c r="L194" s="79" t="str">
        <f>IFERROR(AVERAGEIFS(Table1[Final Score],Table1[Month],Table1[[#This Row],[Month]],Table1[Year],Table1[[#This Row],[Year]],Table1[Mechanic Name],Table1[[#This Row],[Mechanic Name]]),"")</f>
        <v/>
      </c>
    </row>
    <row r="195" spans="3:12" hidden="1" x14ac:dyDescent="0.35">
      <c r="C195" s="80"/>
      <c r="K195" s="81">
        <f>SUM(Table1[[#This Row],[Technical Knowledge]:[Repeat job nahin aana]])/6</f>
        <v>0</v>
      </c>
      <c r="L195" s="79" t="str">
        <f>IFERROR(AVERAGEIFS(Table1[Final Score],Table1[Month],Table1[[#This Row],[Month]],Table1[Year],Table1[[#This Row],[Year]],Table1[Mechanic Name],Table1[[#This Row],[Mechanic Name]]),"")</f>
        <v/>
      </c>
    </row>
    <row r="196" spans="3:12" hidden="1" x14ac:dyDescent="0.35">
      <c r="C196" s="80"/>
      <c r="K196" s="81">
        <f>SUM(Table1[[#This Row],[Technical Knowledge]:[Repeat job nahin aana]])/6</f>
        <v>0</v>
      </c>
      <c r="L196" s="79" t="str">
        <f>IFERROR(AVERAGEIFS(Table1[Final Score],Table1[Month],Table1[[#This Row],[Month]],Table1[Year],Table1[[#This Row],[Year]],Table1[Mechanic Name],Table1[[#This Row],[Mechanic Name]]),"")</f>
        <v/>
      </c>
    </row>
    <row r="197" spans="3:12" hidden="1" x14ac:dyDescent="0.35">
      <c r="C197" s="80"/>
      <c r="K197" s="81">
        <f>SUM(Table1[[#This Row],[Technical Knowledge]:[Repeat job nahin aana]])/6</f>
        <v>0</v>
      </c>
      <c r="L197" s="79" t="str">
        <f>IFERROR(AVERAGEIFS(Table1[Final Score],Table1[Month],Table1[[#This Row],[Month]],Table1[Year],Table1[[#This Row],[Year]],Table1[Mechanic Name],Table1[[#This Row],[Mechanic Name]]),"")</f>
        <v/>
      </c>
    </row>
    <row r="198" spans="3:12" hidden="1" x14ac:dyDescent="0.35">
      <c r="C198" s="80"/>
      <c r="K198" s="81">
        <f>SUM(Table1[[#This Row],[Technical Knowledge]:[Repeat job nahin aana]])/6</f>
        <v>0</v>
      </c>
      <c r="L198" s="79" t="str">
        <f>IFERROR(AVERAGEIFS(Table1[Final Score],Table1[Month],Table1[[#This Row],[Month]],Table1[Year],Table1[[#This Row],[Year]],Table1[Mechanic Name],Table1[[#This Row],[Mechanic Name]]),"")</f>
        <v/>
      </c>
    </row>
    <row r="199" spans="3:12" hidden="1" x14ac:dyDescent="0.35">
      <c r="C199" s="80"/>
      <c r="K199" s="81">
        <f>SUM(Table1[[#This Row],[Technical Knowledge]:[Repeat job nahin aana]])/6</f>
        <v>0</v>
      </c>
      <c r="L199" s="79" t="str">
        <f>IFERROR(AVERAGEIFS(Table1[Final Score],Table1[Month],Table1[[#This Row],[Month]],Table1[Year],Table1[[#This Row],[Year]],Table1[Mechanic Name],Table1[[#This Row],[Mechanic Name]]),"")</f>
        <v/>
      </c>
    </row>
    <row r="200" spans="3:12" hidden="1" x14ac:dyDescent="0.35">
      <c r="C200" s="80"/>
      <c r="K200" s="81">
        <f>SUM(Table1[[#This Row],[Technical Knowledge]:[Repeat job nahin aana]])/6</f>
        <v>0</v>
      </c>
      <c r="L200" s="79" t="str">
        <f>IFERROR(AVERAGEIFS(Table1[Final Score],Table1[Month],Table1[[#This Row],[Month]],Table1[Year],Table1[[#This Row],[Year]],Table1[Mechanic Name],Table1[[#This Row],[Mechanic Name]]),"")</f>
        <v/>
      </c>
    </row>
    <row r="201" spans="3:12" hidden="1" x14ac:dyDescent="0.35">
      <c r="C201" s="80"/>
      <c r="K201" s="81">
        <f>SUM(Table1[[#This Row],[Technical Knowledge]:[Repeat job nahin aana]])/6</f>
        <v>0</v>
      </c>
      <c r="L201" s="79" t="str">
        <f>IFERROR(AVERAGEIFS(Table1[Final Score],Table1[Month],Table1[[#This Row],[Month]],Table1[Year],Table1[[#This Row],[Year]],Table1[Mechanic Name],Table1[[#This Row],[Mechanic Name]]),"")</f>
        <v/>
      </c>
    </row>
    <row r="202" spans="3:12" hidden="1" x14ac:dyDescent="0.35">
      <c r="C202" s="80"/>
      <c r="K202" s="81">
        <f>SUM(Table1[[#This Row],[Technical Knowledge]:[Repeat job nahin aana]])/6</f>
        <v>0</v>
      </c>
      <c r="L202" s="79" t="str">
        <f>IFERROR(AVERAGEIFS(Table1[Final Score],Table1[Month],Table1[[#This Row],[Month]],Table1[Year],Table1[[#This Row],[Year]],Table1[Mechanic Name],Table1[[#This Row],[Mechanic Name]]),"")</f>
        <v/>
      </c>
    </row>
    <row r="203" spans="3:12" hidden="1" x14ac:dyDescent="0.35">
      <c r="C203" s="80"/>
      <c r="K203" s="81">
        <f>SUM(Table1[[#This Row],[Technical Knowledge]:[Repeat job nahin aana]])/6</f>
        <v>0</v>
      </c>
      <c r="L203" s="79" t="str">
        <f>IFERROR(AVERAGEIFS(Table1[Final Score],Table1[Month],Table1[[#This Row],[Month]],Table1[Year],Table1[[#This Row],[Year]],Table1[Mechanic Name],Table1[[#This Row],[Mechanic Name]]),"")</f>
        <v/>
      </c>
    </row>
    <row r="204" spans="3:12" hidden="1" x14ac:dyDescent="0.35">
      <c r="C204" s="80"/>
      <c r="K204" s="81">
        <f>SUM(Table1[[#This Row],[Technical Knowledge]:[Repeat job nahin aana]])/6</f>
        <v>0</v>
      </c>
      <c r="L204" s="79" t="str">
        <f>IFERROR(AVERAGEIFS(Table1[Final Score],Table1[Month],Table1[[#This Row],[Month]],Table1[Year],Table1[[#This Row],[Year]],Table1[Mechanic Name],Table1[[#This Row],[Mechanic Name]]),"")</f>
        <v/>
      </c>
    </row>
    <row r="205" spans="3:12" hidden="1" x14ac:dyDescent="0.35">
      <c r="C205" s="80"/>
      <c r="K205" s="81">
        <f>SUM(Table1[[#This Row],[Technical Knowledge]:[Repeat job nahin aana]])/6</f>
        <v>0</v>
      </c>
      <c r="L205" s="79" t="str">
        <f>IFERROR(AVERAGEIFS(Table1[Final Score],Table1[Month],Table1[[#This Row],[Month]],Table1[Year],Table1[[#This Row],[Year]],Table1[Mechanic Name],Table1[[#This Row],[Mechanic Name]]),"")</f>
        <v/>
      </c>
    </row>
    <row r="206" spans="3:12" hidden="1" x14ac:dyDescent="0.35">
      <c r="C206" s="80"/>
      <c r="K206" s="81">
        <f>SUM(Table1[[#This Row],[Technical Knowledge]:[Repeat job nahin aana]])/6</f>
        <v>0</v>
      </c>
      <c r="L206" s="79" t="str">
        <f>IFERROR(AVERAGEIFS(Table1[Final Score],Table1[Month],Table1[[#This Row],[Month]],Table1[Year],Table1[[#This Row],[Year]],Table1[Mechanic Name],Table1[[#This Row],[Mechanic Name]]),"")</f>
        <v/>
      </c>
    </row>
    <row r="207" spans="3:12" hidden="1" x14ac:dyDescent="0.35">
      <c r="C207" s="80"/>
      <c r="K207" s="81">
        <f>SUM(Table1[[#This Row],[Technical Knowledge]:[Repeat job nahin aana]])/6</f>
        <v>0</v>
      </c>
      <c r="L207" s="79" t="str">
        <f>IFERROR(AVERAGEIFS(Table1[Final Score],Table1[Month],Table1[[#This Row],[Month]],Table1[Year],Table1[[#This Row],[Year]],Table1[Mechanic Name],Table1[[#This Row],[Mechanic Name]]),"")</f>
        <v/>
      </c>
    </row>
    <row r="208" spans="3:12" hidden="1" x14ac:dyDescent="0.35">
      <c r="C208" s="80"/>
      <c r="K208" s="81">
        <f>SUM(Table1[[#This Row],[Technical Knowledge]:[Repeat job nahin aana]])/6</f>
        <v>0</v>
      </c>
      <c r="L208" s="79" t="str">
        <f>IFERROR(AVERAGEIFS(Table1[Final Score],Table1[Month],Table1[[#This Row],[Month]],Table1[Year],Table1[[#This Row],[Year]],Table1[Mechanic Name],Table1[[#This Row],[Mechanic Name]]),"")</f>
        <v/>
      </c>
    </row>
    <row r="209" spans="3:12" hidden="1" x14ac:dyDescent="0.35">
      <c r="C209" s="80"/>
      <c r="K209" s="81">
        <f>SUM(Table1[[#This Row],[Technical Knowledge]:[Repeat job nahin aana]])/6</f>
        <v>0</v>
      </c>
      <c r="L209" s="79" t="str">
        <f>IFERROR(AVERAGEIFS(Table1[Final Score],Table1[Month],Table1[[#This Row],[Month]],Table1[Year],Table1[[#This Row],[Year]],Table1[Mechanic Name],Table1[[#This Row],[Mechanic Name]]),"")</f>
        <v/>
      </c>
    </row>
    <row r="210" spans="3:12" hidden="1" x14ac:dyDescent="0.35">
      <c r="C210" s="80"/>
      <c r="K210" s="81">
        <f>SUM(Table1[[#This Row],[Technical Knowledge]:[Repeat job nahin aana]])/6</f>
        <v>0</v>
      </c>
      <c r="L210" s="79" t="str">
        <f>IFERROR(AVERAGEIFS(Table1[Final Score],Table1[Month],Table1[[#This Row],[Month]],Table1[Year],Table1[[#This Row],[Year]],Table1[Mechanic Name],Table1[[#This Row],[Mechanic Name]]),"")</f>
        <v/>
      </c>
    </row>
    <row r="211" spans="3:12" hidden="1" x14ac:dyDescent="0.35">
      <c r="C211" s="80"/>
      <c r="K211" s="81">
        <f>SUM(Table1[[#This Row],[Technical Knowledge]:[Repeat job nahin aana]])/6</f>
        <v>0</v>
      </c>
      <c r="L211" s="79" t="str">
        <f>IFERROR(AVERAGEIFS(Table1[Final Score],Table1[Month],Table1[[#This Row],[Month]],Table1[Year],Table1[[#This Row],[Year]],Table1[Mechanic Name],Table1[[#This Row],[Mechanic Name]]),"")</f>
        <v/>
      </c>
    </row>
    <row r="212" spans="3:12" hidden="1" x14ac:dyDescent="0.35">
      <c r="C212" s="80"/>
      <c r="K212" s="81">
        <f>SUM(Table1[[#This Row],[Technical Knowledge]:[Repeat job nahin aana]])/6</f>
        <v>0</v>
      </c>
      <c r="L212" s="79" t="str">
        <f>IFERROR(AVERAGEIFS(Table1[Final Score],Table1[Month],Table1[[#This Row],[Month]],Table1[Year],Table1[[#This Row],[Year]],Table1[Mechanic Name],Table1[[#This Row],[Mechanic Name]]),"")</f>
        <v/>
      </c>
    </row>
    <row r="213" spans="3:12" hidden="1" x14ac:dyDescent="0.35">
      <c r="C213" s="80"/>
      <c r="K213" s="81">
        <f>SUM(Table1[[#This Row],[Technical Knowledge]:[Repeat job nahin aana]])/6</f>
        <v>0</v>
      </c>
      <c r="L213" s="79" t="str">
        <f>IFERROR(AVERAGEIFS(Table1[Final Score],Table1[Month],Table1[[#This Row],[Month]],Table1[Year],Table1[[#This Row],[Year]],Table1[Mechanic Name],Table1[[#This Row],[Mechanic Name]]),"")</f>
        <v/>
      </c>
    </row>
    <row r="214" spans="3:12" hidden="1" x14ac:dyDescent="0.35">
      <c r="C214" s="80"/>
      <c r="K214" s="81">
        <f>SUM(Table1[[#This Row],[Technical Knowledge]:[Repeat job nahin aana]])/6</f>
        <v>0</v>
      </c>
      <c r="L214" s="79" t="str">
        <f>IFERROR(AVERAGEIFS(Table1[Final Score],Table1[Month],Table1[[#This Row],[Month]],Table1[Year],Table1[[#This Row],[Year]],Table1[Mechanic Name],Table1[[#This Row],[Mechanic Name]]),"")</f>
        <v/>
      </c>
    </row>
    <row r="215" spans="3:12" hidden="1" x14ac:dyDescent="0.35">
      <c r="C215" s="80"/>
      <c r="K215" s="81">
        <f>SUM(Table1[[#This Row],[Technical Knowledge]:[Repeat job nahin aana]])/6</f>
        <v>0</v>
      </c>
      <c r="L215" s="79" t="str">
        <f>IFERROR(AVERAGEIFS(Table1[Final Score],Table1[Month],Table1[[#This Row],[Month]],Table1[Year],Table1[[#This Row],[Year]],Table1[Mechanic Name],Table1[[#This Row],[Mechanic Name]]),"")</f>
        <v/>
      </c>
    </row>
    <row r="216" spans="3:12" hidden="1" x14ac:dyDescent="0.35">
      <c r="C216" s="80"/>
      <c r="K216" s="81">
        <f>SUM(Table1[[#This Row],[Technical Knowledge]:[Repeat job nahin aana]])/6</f>
        <v>0</v>
      </c>
      <c r="L216" s="79" t="str">
        <f>IFERROR(AVERAGEIFS(Table1[Final Score],Table1[Month],Table1[[#This Row],[Month]],Table1[Year],Table1[[#This Row],[Year]],Table1[Mechanic Name],Table1[[#This Row],[Mechanic Name]]),"")</f>
        <v/>
      </c>
    </row>
    <row r="217" spans="3:12" hidden="1" x14ac:dyDescent="0.35">
      <c r="C217" s="80"/>
      <c r="K217" s="81">
        <f>SUM(Table1[[#This Row],[Technical Knowledge]:[Repeat job nahin aana]])/6</f>
        <v>0</v>
      </c>
      <c r="L217" s="79" t="str">
        <f>IFERROR(AVERAGEIFS(Table1[Final Score],Table1[Month],Table1[[#This Row],[Month]],Table1[Year],Table1[[#This Row],[Year]],Table1[Mechanic Name],Table1[[#This Row],[Mechanic Name]]),"")</f>
        <v/>
      </c>
    </row>
    <row r="218" spans="3:12" hidden="1" x14ac:dyDescent="0.35">
      <c r="C218" s="80"/>
      <c r="K218" s="81">
        <f>SUM(Table1[[#This Row],[Technical Knowledge]:[Repeat job nahin aana]])/6</f>
        <v>0</v>
      </c>
      <c r="L218" s="79" t="str">
        <f>IFERROR(AVERAGEIFS(Table1[Final Score],Table1[Month],Table1[[#This Row],[Month]],Table1[Year],Table1[[#This Row],[Year]],Table1[Mechanic Name],Table1[[#This Row],[Mechanic Name]]),"")</f>
        <v/>
      </c>
    </row>
    <row r="219" spans="3:12" hidden="1" x14ac:dyDescent="0.35">
      <c r="C219" s="80"/>
      <c r="K219" s="81">
        <f>SUM(Table1[[#This Row],[Technical Knowledge]:[Repeat job nahin aana]])/6</f>
        <v>0</v>
      </c>
      <c r="L219" s="79" t="str">
        <f>IFERROR(AVERAGEIFS(Table1[Final Score],Table1[Month],Table1[[#This Row],[Month]],Table1[Year],Table1[[#This Row],[Year]],Table1[Mechanic Name],Table1[[#This Row],[Mechanic Name]]),"")</f>
        <v/>
      </c>
    </row>
    <row r="220" spans="3:12" hidden="1" x14ac:dyDescent="0.35">
      <c r="C220" s="80"/>
      <c r="K220" s="81">
        <f>SUM(Table1[[#This Row],[Technical Knowledge]:[Repeat job nahin aana]])/6</f>
        <v>0</v>
      </c>
      <c r="L220" s="79" t="str">
        <f>IFERROR(AVERAGEIFS(Table1[Final Score],Table1[Month],Table1[[#This Row],[Month]],Table1[Year],Table1[[#This Row],[Year]],Table1[Mechanic Name],Table1[[#This Row],[Mechanic Name]]),"")</f>
        <v/>
      </c>
    </row>
    <row r="221" spans="3:12" hidden="1" x14ac:dyDescent="0.35">
      <c r="C221" s="80"/>
      <c r="K221" s="81">
        <f>SUM(Table1[[#This Row],[Technical Knowledge]:[Repeat job nahin aana]])/6</f>
        <v>0</v>
      </c>
      <c r="L221" s="79" t="str">
        <f>IFERROR(AVERAGEIFS(Table1[Final Score],Table1[Month],Table1[[#This Row],[Month]],Table1[Year],Table1[[#This Row],[Year]],Table1[Mechanic Name],Table1[[#This Row],[Mechanic Name]]),"")</f>
        <v/>
      </c>
    </row>
    <row r="222" spans="3:12" hidden="1" x14ac:dyDescent="0.35">
      <c r="C222" s="80"/>
      <c r="K222" s="81">
        <f>SUM(Table1[[#This Row],[Technical Knowledge]:[Repeat job nahin aana]])/6</f>
        <v>0</v>
      </c>
      <c r="L222" s="79" t="str">
        <f>IFERROR(AVERAGEIFS(Table1[Final Score],Table1[Month],Table1[[#This Row],[Month]],Table1[Year],Table1[[#This Row],[Year]],Table1[Mechanic Name],Table1[[#This Row],[Mechanic Name]]),"")</f>
        <v/>
      </c>
    </row>
    <row r="223" spans="3:12" hidden="1" x14ac:dyDescent="0.35">
      <c r="C223" s="80"/>
      <c r="K223" s="81">
        <f>SUM(Table1[[#This Row],[Technical Knowledge]:[Repeat job nahin aana]])/6</f>
        <v>0</v>
      </c>
      <c r="L223" s="79" t="str">
        <f>IFERROR(AVERAGEIFS(Table1[Final Score],Table1[Month],Table1[[#This Row],[Month]],Table1[Year],Table1[[#This Row],[Year]],Table1[Mechanic Name],Table1[[#This Row],[Mechanic Name]]),"")</f>
        <v/>
      </c>
    </row>
    <row r="224" spans="3:12" hidden="1" x14ac:dyDescent="0.35">
      <c r="C224" s="80"/>
      <c r="K224" s="81">
        <f>SUM(Table1[[#This Row],[Technical Knowledge]:[Repeat job nahin aana]])/6</f>
        <v>0</v>
      </c>
      <c r="L224" s="79" t="str">
        <f>IFERROR(AVERAGEIFS(Table1[Final Score],Table1[Month],Table1[[#This Row],[Month]],Table1[Year],Table1[[#This Row],[Year]],Table1[Mechanic Name],Table1[[#This Row],[Mechanic Name]]),"")</f>
        <v/>
      </c>
    </row>
    <row r="225" spans="3:12" hidden="1" x14ac:dyDescent="0.35">
      <c r="C225" s="80"/>
      <c r="K225" s="81">
        <f>SUM(Table1[[#This Row],[Technical Knowledge]:[Repeat job nahin aana]])/6</f>
        <v>0</v>
      </c>
      <c r="L225" s="79" t="str">
        <f>IFERROR(AVERAGEIFS(Table1[Final Score],Table1[Month],Table1[[#This Row],[Month]],Table1[Year],Table1[[#This Row],[Year]],Table1[Mechanic Name],Table1[[#This Row],[Mechanic Name]]),"")</f>
        <v/>
      </c>
    </row>
    <row r="226" spans="3:12" hidden="1" x14ac:dyDescent="0.35">
      <c r="C226" s="80"/>
      <c r="K226" s="81">
        <f>SUM(Table1[[#This Row],[Technical Knowledge]:[Repeat job nahin aana]])/6</f>
        <v>0</v>
      </c>
      <c r="L226" s="79" t="str">
        <f>IFERROR(AVERAGEIFS(Table1[Final Score],Table1[Month],Table1[[#This Row],[Month]],Table1[Year],Table1[[#This Row],[Year]],Table1[Mechanic Name],Table1[[#This Row],[Mechanic Name]]),"")</f>
        <v/>
      </c>
    </row>
    <row r="227" spans="3:12" hidden="1" x14ac:dyDescent="0.35">
      <c r="C227" s="80"/>
      <c r="K227" s="81">
        <f>SUM(Table1[[#This Row],[Technical Knowledge]:[Repeat job nahin aana]])/6</f>
        <v>0</v>
      </c>
      <c r="L227" s="79" t="str">
        <f>IFERROR(AVERAGEIFS(Table1[Final Score],Table1[Month],Table1[[#This Row],[Month]],Table1[Year],Table1[[#This Row],[Year]],Table1[Mechanic Name],Table1[[#This Row],[Mechanic Name]]),"")</f>
        <v/>
      </c>
    </row>
    <row r="228" spans="3:12" hidden="1" x14ac:dyDescent="0.35">
      <c r="C228" s="80"/>
      <c r="K228" s="81">
        <f>SUM(Table1[[#This Row],[Technical Knowledge]:[Repeat job nahin aana]])/6</f>
        <v>0</v>
      </c>
      <c r="L228" s="79" t="str">
        <f>IFERROR(AVERAGEIFS(Table1[Final Score],Table1[Month],Table1[[#This Row],[Month]],Table1[Year],Table1[[#This Row],[Year]],Table1[Mechanic Name],Table1[[#This Row],[Mechanic Name]]),"")</f>
        <v/>
      </c>
    </row>
    <row r="229" spans="3:12" hidden="1" x14ac:dyDescent="0.35">
      <c r="C229" s="80"/>
      <c r="K229" s="81">
        <f>SUM(Table1[[#This Row],[Technical Knowledge]:[Repeat job nahin aana]])/6</f>
        <v>0</v>
      </c>
      <c r="L229" s="79" t="str">
        <f>IFERROR(AVERAGEIFS(Table1[Final Score],Table1[Month],Table1[[#This Row],[Month]],Table1[Year],Table1[[#This Row],[Year]],Table1[Mechanic Name],Table1[[#This Row],[Mechanic Name]]),"")</f>
        <v/>
      </c>
    </row>
    <row r="230" spans="3:12" hidden="1" x14ac:dyDescent="0.35">
      <c r="C230" s="80"/>
      <c r="K230" s="81">
        <f>SUM(Table1[[#This Row],[Technical Knowledge]:[Repeat job nahin aana]])/6</f>
        <v>0</v>
      </c>
      <c r="L230" s="79" t="str">
        <f>IFERROR(AVERAGEIFS(Table1[Final Score],Table1[Month],Table1[[#This Row],[Month]],Table1[Year],Table1[[#This Row],[Year]],Table1[Mechanic Name],Table1[[#This Row],[Mechanic Name]]),"")</f>
        <v/>
      </c>
    </row>
    <row r="231" spans="3:12" hidden="1" x14ac:dyDescent="0.35">
      <c r="C231" s="80"/>
      <c r="K231" s="81">
        <f>SUM(Table1[[#This Row],[Technical Knowledge]:[Repeat job nahin aana]])/6</f>
        <v>0</v>
      </c>
      <c r="L231" s="79" t="str">
        <f>IFERROR(AVERAGEIFS(Table1[Final Score],Table1[Month],Table1[[#This Row],[Month]],Table1[Year],Table1[[#This Row],[Year]],Table1[Mechanic Name],Table1[[#This Row],[Mechanic Name]]),"")</f>
        <v/>
      </c>
    </row>
    <row r="232" spans="3:12" hidden="1" x14ac:dyDescent="0.35">
      <c r="C232" s="80"/>
      <c r="K232" s="81">
        <f>SUM(Table1[[#This Row],[Technical Knowledge]:[Repeat job nahin aana]])/6</f>
        <v>0</v>
      </c>
      <c r="L232" s="79" t="str">
        <f>IFERROR(AVERAGEIFS(Table1[Final Score],Table1[Month],Table1[[#This Row],[Month]],Table1[Year],Table1[[#This Row],[Year]],Table1[Mechanic Name],Table1[[#This Row],[Mechanic Name]]),"")</f>
        <v/>
      </c>
    </row>
    <row r="233" spans="3:12" hidden="1" x14ac:dyDescent="0.35">
      <c r="C233" s="80"/>
      <c r="K233" s="81">
        <f>SUM(Table1[[#This Row],[Technical Knowledge]:[Repeat job nahin aana]])/6</f>
        <v>0</v>
      </c>
      <c r="L233" s="79" t="str">
        <f>IFERROR(AVERAGEIFS(Table1[Final Score],Table1[Month],Table1[[#This Row],[Month]],Table1[Year],Table1[[#This Row],[Year]],Table1[Mechanic Name],Table1[[#This Row],[Mechanic Name]]),"")</f>
        <v/>
      </c>
    </row>
    <row r="234" spans="3:12" hidden="1" x14ac:dyDescent="0.35">
      <c r="C234" s="80"/>
      <c r="K234" s="81">
        <f>SUM(Table1[[#This Row],[Technical Knowledge]:[Repeat job nahin aana]])/6</f>
        <v>0</v>
      </c>
      <c r="L234" s="79" t="str">
        <f>IFERROR(AVERAGEIFS(Table1[Final Score],Table1[Month],Table1[[#This Row],[Month]],Table1[Year],Table1[[#This Row],[Year]],Table1[Mechanic Name],Table1[[#This Row],[Mechanic Name]]),"")</f>
        <v/>
      </c>
    </row>
    <row r="235" spans="3:12" hidden="1" x14ac:dyDescent="0.35">
      <c r="C235" s="80"/>
      <c r="K235" s="81">
        <f>SUM(Table1[[#This Row],[Technical Knowledge]:[Repeat job nahin aana]])/6</f>
        <v>0</v>
      </c>
      <c r="L235" s="79" t="str">
        <f>IFERROR(AVERAGEIFS(Table1[Final Score],Table1[Month],Table1[[#This Row],[Month]],Table1[Year],Table1[[#This Row],[Year]],Table1[Mechanic Name],Table1[[#This Row],[Mechanic Name]]),"")</f>
        <v/>
      </c>
    </row>
    <row r="236" spans="3:12" hidden="1" x14ac:dyDescent="0.35">
      <c r="C236" s="80"/>
      <c r="K236" s="81">
        <f>SUM(Table1[[#This Row],[Technical Knowledge]:[Repeat job nahin aana]])/6</f>
        <v>0</v>
      </c>
      <c r="L236" s="79" t="str">
        <f>IFERROR(AVERAGEIFS(Table1[Final Score],Table1[Month],Table1[[#This Row],[Month]],Table1[Year],Table1[[#This Row],[Year]],Table1[Mechanic Name],Table1[[#This Row],[Mechanic Name]]),"")</f>
        <v/>
      </c>
    </row>
    <row r="237" spans="3:12" hidden="1" x14ac:dyDescent="0.35">
      <c r="C237" s="80"/>
      <c r="K237" s="81">
        <f>SUM(Table1[[#This Row],[Technical Knowledge]:[Repeat job nahin aana]])/6</f>
        <v>0</v>
      </c>
      <c r="L237" s="79" t="str">
        <f>IFERROR(AVERAGEIFS(Table1[Final Score],Table1[Month],Table1[[#This Row],[Month]],Table1[Year],Table1[[#This Row],[Year]],Table1[Mechanic Name],Table1[[#This Row],[Mechanic Name]]),"")</f>
        <v/>
      </c>
    </row>
    <row r="238" spans="3:12" hidden="1" x14ac:dyDescent="0.35">
      <c r="C238" s="80"/>
      <c r="K238" s="81">
        <f>SUM(Table1[[#This Row],[Technical Knowledge]:[Repeat job nahin aana]])/6</f>
        <v>0</v>
      </c>
      <c r="L238" s="79" t="str">
        <f>IFERROR(AVERAGEIFS(Table1[Final Score],Table1[Month],Table1[[#This Row],[Month]],Table1[Year],Table1[[#This Row],[Year]],Table1[Mechanic Name],Table1[[#This Row],[Mechanic Name]]),"")</f>
        <v/>
      </c>
    </row>
    <row r="239" spans="3:12" hidden="1" x14ac:dyDescent="0.35">
      <c r="C239" s="80"/>
      <c r="K239" s="81">
        <f>SUM(Table1[[#This Row],[Technical Knowledge]:[Repeat job nahin aana]])/6</f>
        <v>0</v>
      </c>
      <c r="L239" s="79" t="str">
        <f>IFERROR(AVERAGEIFS(Table1[Final Score],Table1[Month],Table1[[#This Row],[Month]],Table1[Year],Table1[[#This Row],[Year]],Table1[Mechanic Name],Table1[[#This Row],[Mechanic Name]]),"")</f>
        <v/>
      </c>
    </row>
    <row r="240" spans="3:12" hidden="1" x14ac:dyDescent="0.35">
      <c r="C240" s="80"/>
      <c r="K240" s="81">
        <f>SUM(Table1[[#This Row],[Technical Knowledge]:[Repeat job nahin aana]])/6</f>
        <v>0</v>
      </c>
      <c r="L240" s="79" t="str">
        <f>IFERROR(AVERAGEIFS(Table1[Final Score],Table1[Month],Table1[[#This Row],[Month]],Table1[Year],Table1[[#This Row],[Year]],Table1[Mechanic Name],Table1[[#This Row],[Mechanic Name]]),"")</f>
        <v/>
      </c>
    </row>
    <row r="241" spans="3:12" hidden="1" x14ac:dyDescent="0.35">
      <c r="C241" s="80"/>
      <c r="K241" s="81">
        <f>SUM(Table1[[#This Row],[Technical Knowledge]:[Repeat job nahin aana]])/6</f>
        <v>0</v>
      </c>
      <c r="L241" s="79" t="str">
        <f>IFERROR(AVERAGEIFS(Table1[Final Score],Table1[Month],Table1[[#This Row],[Month]],Table1[Year],Table1[[#This Row],[Year]],Table1[Mechanic Name],Table1[[#This Row],[Mechanic Name]]),"")</f>
        <v/>
      </c>
    </row>
    <row r="242" spans="3:12" hidden="1" x14ac:dyDescent="0.35">
      <c r="C242" s="80"/>
      <c r="K242" s="81">
        <f>SUM(Table1[[#This Row],[Technical Knowledge]:[Repeat job nahin aana]])/6</f>
        <v>0</v>
      </c>
      <c r="L242" s="79" t="str">
        <f>IFERROR(AVERAGEIFS(Table1[Final Score],Table1[Month],Table1[[#This Row],[Month]],Table1[Year],Table1[[#This Row],[Year]],Table1[Mechanic Name],Table1[[#This Row],[Mechanic Name]]),"")</f>
        <v/>
      </c>
    </row>
    <row r="243" spans="3:12" hidden="1" x14ac:dyDescent="0.35">
      <c r="C243" s="80"/>
      <c r="K243" s="81">
        <f>SUM(Table1[[#This Row],[Technical Knowledge]:[Repeat job nahin aana]])/6</f>
        <v>0</v>
      </c>
      <c r="L243" s="79" t="str">
        <f>IFERROR(AVERAGEIFS(Table1[Final Score],Table1[Month],Table1[[#This Row],[Month]],Table1[Year],Table1[[#This Row],[Year]],Table1[Mechanic Name],Table1[[#This Row],[Mechanic Name]]),"")</f>
        <v/>
      </c>
    </row>
    <row r="244" spans="3:12" hidden="1" x14ac:dyDescent="0.35">
      <c r="C244" s="80"/>
      <c r="K244" s="81">
        <f>SUM(Table1[[#This Row],[Technical Knowledge]:[Repeat job nahin aana]])/6</f>
        <v>0</v>
      </c>
      <c r="L244" s="79" t="str">
        <f>IFERROR(AVERAGEIFS(Table1[Final Score],Table1[Month],Table1[[#This Row],[Month]],Table1[Year],Table1[[#This Row],[Year]],Table1[Mechanic Name],Table1[[#This Row],[Mechanic Name]]),"")</f>
        <v/>
      </c>
    </row>
    <row r="245" spans="3:12" hidden="1" x14ac:dyDescent="0.35">
      <c r="C245" s="80"/>
      <c r="K245" s="81">
        <f>SUM(Table1[[#This Row],[Technical Knowledge]:[Repeat job nahin aana]])/6</f>
        <v>0</v>
      </c>
      <c r="L245" s="79" t="str">
        <f>IFERROR(AVERAGEIFS(Table1[Final Score],Table1[Month],Table1[[#This Row],[Month]],Table1[Year],Table1[[#This Row],[Year]],Table1[Mechanic Name],Table1[[#This Row],[Mechanic Name]]),"")</f>
        <v/>
      </c>
    </row>
    <row r="246" spans="3:12" hidden="1" x14ac:dyDescent="0.35">
      <c r="C246" s="80"/>
      <c r="K246" s="81">
        <f>SUM(Table1[[#This Row],[Technical Knowledge]:[Repeat job nahin aana]])/6</f>
        <v>0</v>
      </c>
      <c r="L246" s="79" t="str">
        <f>IFERROR(AVERAGEIFS(Table1[Final Score],Table1[Month],Table1[[#This Row],[Month]],Table1[Year],Table1[[#This Row],[Year]],Table1[Mechanic Name],Table1[[#This Row],[Mechanic Name]]),"")</f>
        <v/>
      </c>
    </row>
    <row r="247" spans="3:12" hidden="1" x14ac:dyDescent="0.35">
      <c r="C247" s="80"/>
      <c r="K247" s="81">
        <f>SUM(Table1[[#This Row],[Technical Knowledge]:[Repeat job nahin aana]])/6</f>
        <v>0</v>
      </c>
      <c r="L247" s="79" t="str">
        <f>IFERROR(AVERAGEIFS(Table1[Final Score],Table1[Month],Table1[[#This Row],[Month]],Table1[Year],Table1[[#This Row],[Year]],Table1[Mechanic Name],Table1[[#This Row],[Mechanic Name]]),"")</f>
        <v/>
      </c>
    </row>
    <row r="248" spans="3:12" hidden="1" x14ac:dyDescent="0.35">
      <c r="C248" s="80"/>
      <c r="K248" s="81">
        <f>SUM(Table1[[#This Row],[Technical Knowledge]:[Repeat job nahin aana]])/6</f>
        <v>0</v>
      </c>
      <c r="L248" s="79" t="str">
        <f>IFERROR(AVERAGEIFS(Table1[Final Score],Table1[Month],Table1[[#This Row],[Month]],Table1[Year],Table1[[#This Row],[Year]],Table1[Mechanic Name],Table1[[#This Row],[Mechanic Name]]),"")</f>
        <v/>
      </c>
    </row>
    <row r="249" spans="3:12" hidden="1" x14ac:dyDescent="0.35">
      <c r="C249" s="80"/>
      <c r="K249" s="81">
        <f>SUM(Table1[[#This Row],[Technical Knowledge]:[Repeat job nahin aana]])/6</f>
        <v>0</v>
      </c>
      <c r="L249" s="79" t="str">
        <f>IFERROR(AVERAGEIFS(Table1[Final Score],Table1[Month],Table1[[#This Row],[Month]],Table1[Year],Table1[[#This Row],[Year]],Table1[Mechanic Name],Table1[[#This Row],[Mechanic Name]]),"")</f>
        <v/>
      </c>
    </row>
    <row r="250" spans="3:12" hidden="1" x14ac:dyDescent="0.35">
      <c r="C250" s="80"/>
      <c r="K250" s="81">
        <f>SUM(Table1[[#This Row],[Technical Knowledge]:[Repeat job nahin aana]])/6</f>
        <v>0</v>
      </c>
      <c r="L250" s="79" t="str">
        <f>IFERROR(AVERAGEIFS(Table1[Final Score],Table1[Month],Table1[[#This Row],[Month]],Table1[Year],Table1[[#This Row],[Year]],Table1[Mechanic Name],Table1[[#This Row],[Mechanic Name]]),"")</f>
        <v/>
      </c>
    </row>
    <row r="251" spans="3:12" hidden="1" x14ac:dyDescent="0.35">
      <c r="C251" s="80"/>
      <c r="K251" s="81">
        <f>SUM(Table1[[#This Row],[Technical Knowledge]:[Repeat job nahin aana]])/6</f>
        <v>0</v>
      </c>
      <c r="L251" s="79" t="str">
        <f>IFERROR(AVERAGEIFS(Table1[Final Score],Table1[Month],Table1[[#This Row],[Month]],Table1[Year],Table1[[#This Row],[Year]],Table1[Mechanic Name],Table1[[#This Row],[Mechanic Name]]),"")</f>
        <v/>
      </c>
    </row>
    <row r="252" spans="3:12" hidden="1" x14ac:dyDescent="0.35">
      <c r="C252" s="80"/>
      <c r="K252" s="81">
        <f>SUM(Table1[[#This Row],[Technical Knowledge]:[Repeat job nahin aana]])/6</f>
        <v>0</v>
      </c>
      <c r="L252" s="79" t="str">
        <f>IFERROR(AVERAGEIFS(Table1[Final Score],Table1[Month],Table1[[#This Row],[Month]],Table1[Year],Table1[[#This Row],[Year]],Table1[Mechanic Name],Table1[[#This Row],[Mechanic Name]]),"")</f>
        <v/>
      </c>
    </row>
    <row r="253" spans="3:12" hidden="1" x14ac:dyDescent="0.35">
      <c r="C253" s="80"/>
      <c r="K253" s="81">
        <f>SUM(Table1[[#This Row],[Technical Knowledge]:[Repeat job nahin aana]])/6</f>
        <v>0</v>
      </c>
      <c r="L253" s="79" t="str">
        <f>IFERROR(AVERAGEIFS(Table1[Final Score],Table1[Month],Table1[[#This Row],[Month]],Table1[Year],Table1[[#This Row],[Year]],Table1[Mechanic Name],Table1[[#This Row],[Mechanic Name]]),"")</f>
        <v/>
      </c>
    </row>
    <row r="254" spans="3:12" hidden="1" x14ac:dyDescent="0.35">
      <c r="C254" s="80"/>
      <c r="K254" s="81">
        <f>SUM(Table1[[#This Row],[Technical Knowledge]:[Repeat job nahin aana]])/6</f>
        <v>0</v>
      </c>
      <c r="L254" s="79" t="str">
        <f>IFERROR(AVERAGEIFS(Table1[Final Score],Table1[Month],Table1[[#This Row],[Month]],Table1[Year],Table1[[#This Row],[Year]],Table1[Mechanic Name],Table1[[#This Row],[Mechanic Name]]),"")</f>
        <v/>
      </c>
    </row>
    <row r="255" spans="3:12" hidden="1" x14ac:dyDescent="0.35">
      <c r="C255" s="80"/>
      <c r="K255" s="81">
        <f>SUM(Table1[[#This Row],[Technical Knowledge]:[Repeat job nahin aana]])/6</f>
        <v>0</v>
      </c>
      <c r="L255" s="79" t="str">
        <f>IFERROR(AVERAGEIFS(Table1[Final Score],Table1[Month],Table1[[#This Row],[Month]],Table1[Year],Table1[[#This Row],[Year]],Table1[Mechanic Name],Table1[[#This Row],[Mechanic Name]]),"")</f>
        <v/>
      </c>
    </row>
    <row r="256" spans="3:12" hidden="1" x14ac:dyDescent="0.35">
      <c r="C256" s="80"/>
      <c r="K256" s="81">
        <f>SUM(Table1[[#This Row],[Technical Knowledge]:[Repeat job nahin aana]])/6</f>
        <v>0</v>
      </c>
      <c r="L256" s="79" t="str">
        <f>IFERROR(AVERAGEIFS(Table1[Final Score],Table1[Month],Table1[[#This Row],[Month]],Table1[Year],Table1[[#This Row],[Year]],Table1[Mechanic Name],Table1[[#This Row],[Mechanic Name]]),"")</f>
        <v/>
      </c>
    </row>
    <row r="257" spans="3:12" hidden="1" x14ac:dyDescent="0.35">
      <c r="C257" s="80"/>
      <c r="K257" s="81">
        <f>SUM(Table1[[#This Row],[Technical Knowledge]:[Repeat job nahin aana]])/6</f>
        <v>0</v>
      </c>
      <c r="L257" s="79" t="str">
        <f>IFERROR(AVERAGEIFS(Table1[Final Score],Table1[Month],Table1[[#This Row],[Month]],Table1[Year],Table1[[#This Row],[Year]],Table1[Mechanic Name],Table1[[#This Row],[Mechanic Name]]),"")</f>
        <v/>
      </c>
    </row>
    <row r="258" spans="3:12" hidden="1" x14ac:dyDescent="0.35">
      <c r="C258" s="80"/>
      <c r="K258" s="81">
        <f>SUM(Table1[[#This Row],[Technical Knowledge]:[Repeat job nahin aana]])/6</f>
        <v>0</v>
      </c>
      <c r="L258" s="79" t="str">
        <f>IFERROR(AVERAGEIFS(Table1[Final Score],Table1[Month],Table1[[#This Row],[Month]],Table1[Year],Table1[[#This Row],[Year]],Table1[Mechanic Name],Table1[[#This Row],[Mechanic Name]]),"")</f>
        <v/>
      </c>
    </row>
    <row r="259" spans="3:12" hidden="1" x14ac:dyDescent="0.35">
      <c r="C259" s="80"/>
      <c r="K259" s="81">
        <f>SUM(Table1[[#This Row],[Technical Knowledge]:[Repeat job nahin aana]])/6</f>
        <v>0</v>
      </c>
      <c r="L259" s="79" t="str">
        <f>IFERROR(AVERAGEIFS(Table1[Final Score],Table1[Month],Table1[[#This Row],[Month]],Table1[Year],Table1[[#This Row],[Year]],Table1[Mechanic Name],Table1[[#This Row],[Mechanic Name]]),"")</f>
        <v/>
      </c>
    </row>
    <row r="260" spans="3:12" hidden="1" x14ac:dyDescent="0.35">
      <c r="C260" s="80"/>
      <c r="K260" s="81">
        <f>SUM(Table1[[#This Row],[Technical Knowledge]:[Repeat job nahin aana]])/6</f>
        <v>0</v>
      </c>
      <c r="L260" s="79" t="str">
        <f>IFERROR(AVERAGEIFS(Table1[Final Score],Table1[Month],Table1[[#This Row],[Month]],Table1[Year],Table1[[#This Row],[Year]],Table1[Mechanic Name],Table1[[#This Row],[Mechanic Name]]),"")</f>
        <v/>
      </c>
    </row>
    <row r="261" spans="3:12" hidden="1" x14ac:dyDescent="0.35">
      <c r="C261" s="80"/>
      <c r="K261" s="81">
        <f>SUM(Table1[[#This Row],[Technical Knowledge]:[Repeat job nahin aana]])/6</f>
        <v>0</v>
      </c>
      <c r="L261" s="79" t="str">
        <f>IFERROR(AVERAGEIFS(Table1[Final Score],Table1[Month],Table1[[#This Row],[Month]],Table1[Year],Table1[[#This Row],[Year]],Table1[Mechanic Name],Table1[[#This Row],[Mechanic Name]]),"")</f>
        <v/>
      </c>
    </row>
    <row r="262" spans="3:12" hidden="1" x14ac:dyDescent="0.35">
      <c r="C262" s="80"/>
      <c r="K262" s="81">
        <f>SUM(Table1[[#This Row],[Technical Knowledge]:[Repeat job nahin aana]])/6</f>
        <v>0</v>
      </c>
      <c r="L262" s="79" t="str">
        <f>IFERROR(AVERAGEIFS(Table1[Final Score],Table1[Month],Table1[[#This Row],[Month]],Table1[Year],Table1[[#This Row],[Year]],Table1[Mechanic Name],Table1[[#This Row],[Mechanic Name]]),"")</f>
        <v/>
      </c>
    </row>
    <row r="263" spans="3:12" hidden="1" x14ac:dyDescent="0.35">
      <c r="C263" s="80"/>
      <c r="K263" s="81">
        <f>SUM(Table1[[#This Row],[Technical Knowledge]:[Repeat job nahin aana]])/6</f>
        <v>0</v>
      </c>
      <c r="L263" s="79" t="str">
        <f>IFERROR(AVERAGEIFS(Table1[Final Score],Table1[Month],Table1[[#This Row],[Month]],Table1[Year],Table1[[#This Row],[Year]],Table1[Mechanic Name],Table1[[#This Row],[Mechanic Name]]),"")</f>
        <v/>
      </c>
    </row>
    <row r="264" spans="3:12" hidden="1" x14ac:dyDescent="0.35">
      <c r="C264" s="80"/>
      <c r="K264" s="81">
        <f>SUM(Table1[[#This Row],[Technical Knowledge]:[Repeat job nahin aana]])/6</f>
        <v>0</v>
      </c>
      <c r="L264" s="79" t="str">
        <f>IFERROR(AVERAGEIFS(Table1[Final Score],Table1[Month],Table1[[#This Row],[Month]],Table1[Year],Table1[[#This Row],[Year]],Table1[Mechanic Name],Table1[[#This Row],[Mechanic Name]]),"")</f>
        <v/>
      </c>
    </row>
    <row r="265" spans="3:12" hidden="1" x14ac:dyDescent="0.35">
      <c r="C265" s="80"/>
      <c r="K265" s="81">
        <f>SUM(Table1[[#This Row],[Technical Knowledge]:[Repeat job nahin aana]])/6</f>
        <v>0</v>
      </c>
      <c r="L265" s="79" t="str">
        <f>IFERROR(AVERAGEIFS(Table1[Final Score],Table1[Month],Table1[[#This Row],[Month]],Table1[Year],Table1[[#This Row],[Year]],Table1[Mechanic Name],Table1[[#This Row],[Mechanic Name]]),"")</f>
        <v/>
      </c>
    </row>
    <row r="266" spans="3:12" hidden="1" x14ac:dyDescent="0.35">
      <c r="C266" s="80"/>
      <c r="K266" s="81">
        <f>SUM(Table1[[#This Row],[Technical Knowledge]:[Repeat job nahin aana]])/6</f>
        <v>0</v>
      </c>
      <c r="L266" s="79" t="str">
        <f>IFERROR(AVERAGEIFS(Table1[Final Score],Table1[Month],Table1[[#This Row],[Month]],Table1[Year],Table1[[#This Row],[Year]],Table1[Mechanic Name],Table1[[#This Row],[Mechanic Name]]),"")</f>
        <v/>
      </c>
    </row>
    <row r="267" spans="3:12" hidden="1" x14ac:dyDescent="0.35">
      <c r="C267" s="80"/>
      <c r="K267" s="81">
        <f>SUM(Table1[[#This Row],[Technical Knowledge]:[Repeat job nahin aana]])/6</f>
        <v>0</v>
      </c>
      <c r="L267" s="79" t="str">
        <f>IFERROR(AVERAGEIFS(Table1[Final Score],Table1[Month],Table1[[#This Row],[Month]],Table1[Year],Table1[[#This Row],[Year]],Table1[Mechanic Name],Table1[[#This Row],[Mechanic Name]]),"")</f>
        <v/>
      </c>
    </row>
    <row r="268" spans="3:12" hidden="1" x14ac:dyDescent="0.35">
      <c r="C268" s="80"/>
      <c r="K268" s="81">
        <f>SUM(Table1[[#This Row],[Technical Knowledge]:[Repeat job nahin aana]])/6</f>
        <v>0</v>
      </c>
      <c r="L268" s="79" t="str">
        <f>IFERROR(AVERAGEIFS(Table1[Final Score],Table1[Month],Table1[[#This Row],[Month]],Table1[Year],Table1[[#This Row],[Year]],Table1[Mechanic Name],Table1[[#This Row],[Mechanic Name]]),"")</f>
        <v/>
      </c>
    </row>
    <row r="269" spans="3:12" hidden="1" x14ac:dyDescent="0.35">
      <c r="C269" s="80"/>
      <c r="K269" s="81">
        <f>SUM(Table1[[#This Row],[Technical Knowledge]:[Repeat job nahin aana]])/6</f>
        <v>0</v>
      </c>
      <c r="L269" s="79" t="str">
        <f>IFERROR(AVERAGEIFS(Table1[Final Score],Table1[Month],Table1[[#This Row],[Month]],Table1[Year],Table1[[#This Row],[Year]],Table1[Mechanic Name],Table1[[#This Row],[Mechanic Name]]),"")</f>
        <v/>
      </c>
    </row>
    <row r="270" spans="3:12" hidden="1" x14ac:dyDescent="0.35">
      <c r="C270" s="80"/>
      <c r="K270" s="81">
        <f>SUM(Table1[[#This Row],[Technical Knowledge]:[Repeat job nahin aana]])/6</f>
        <v>0</v>
      </c>
      <c r="L270" s="79" t="str">
        <f>IFERROR(AVERAGEIFS(Table1[Final Score],Table1[Month],Table1[[#This Row],[Month]],Table1[Year],Table1[[#This Row],[Year]],Table1[Mechanic Name],Table1[[#This Row],[Mechanic Name]]),"")</f>
        <v/>
      </c>
    </row>
    <row r="271" spans="3:12" hidden="1" x14ac:dyDescent="0.35">
      <c r="C271" s="80"/>
      <c r="K271" s="81">
        <f>SUM(Table1[[#This Row],[Technical Knowledge]:[Repeat job nahin aana]])/6</f>
        <v>0</v>
      </c>
      <c r="L271" s="79" t="str">
        <f>IFERROR(AVERAGEIFS(Table1[Final Score],Table1[Month],Table1[[#This Row],[Month]],Table1[Year],Table1[[#This Row],[Year]],Table1[Mechanic Name],Table1[[#This Row],[Mechanic Name]]),"")</f>
        <v/>
      </c>
    </row>
    <row r="272" spans="3:12" hidden="1" x14ac:dyDescent="0.35">
      <c r="C272" s="80"/>
      <c r="K272" s="81">
        <f>SUM(Table1[[#This Row],[Technical Knowledge]:[Repeat job nahin aana]])/6</f>
        <v>0</v>
      </c>
      <c r="L272" s="79" t="str">
        <f>IFERROR(AVERAGEIFS(Table1[Final Score],Table1[Month],Table1[[#This Row],[Month]],Table1[Year],Table1[[#This Row],[Year]],Table1[Mechanic Name],Table1[[#This Row],[Mechanic Name]]),"")</f>
        <v/>
      </c>
    </row>
    <row r="273" spans="3:12" hidden="1" x14ac:dyDescent="0.35">
      <c r="C273" s="80"/>
      <c r="K273" s="81">
        <f>SUM(Table1[[#This Row],[Technical Knowledge]:[Repeat job nahin aana]])/6</f>
        <v>0</v>
      </c>
      <c r="L273" s="79" t="str">
        <f>IFERROR(AVERAGEIFS(Table1[Final Score],Table1[Month],Table1[[#This Row],[Month]],Table1[Year],Table1[[#This Row],[Year]],Table1[Mechanic Name],Table1[[#This Row],[Mechanic Name]]),"")</f>
        <v/>
      </c>
    </row>
    <row r="274" spans="3:12" hidden="1" x14ac:dyDescent="0.35">
      <c r="C274" s="80"/>
      <c r="K274" s="81">
        <f>SUM(Table1[[#This Row],[Technical Knowledge]:[Repeat job nahin aana]])/6</f>
        <v>0</v>
      </c>
      <c r="L274" s="79" t="str">
        <f>IFERROR(AVERAGEIFS(Table1[Final Score],Table1[Month],Table1[[#This Row],[Month]],Table1[Year],Table1[[#This Row],[Year]],Table1[Mechanic Name],Table1[[#This Row],[Mechanic Name]]),"")</f>
        <v/>
      </c>
    </row>
    <row r="275" spans="3:12" hidden="1" x14ac:dyDescent="0.35">
      <c r="C275" s="80"/>
      <c r="K275" s="81">
        <f>SUM(Table1[[#This Row],[Technical Knowledge]:[Repeat job nahin aana]])/6</f>
        <v>0</v>
      </c>
      <c r="L275" s="79" t="str">
        <f>IFERROR(AVERAGEIFS(Table1[Final Score],Table1[Month],Table1[[#This Row],[Month]],Table1[Year],Table1[[#This Row],[Year]],Table1[Mechanic Name],Table1[[#This Row],[Mechanic Name]]),"")</f>
        <v/>
      </c>
    </row>
    <row r="276" spans="3:12" hidden="1" x14ac:dyDescent="0.35">
      <c r="C276" s="80"/>
      <c r="K276" s="81">
        <f>SUM(Table1[[#This Row],[Technical Knowledge]:[Repeat job nahin aana]])/6</f>
        <v>0</v>
      </c>
      <c r="L276" s="79" t="str">
        <f>IFERROR(AVERAGEIFS(Table1[Final Score],Table1[Month],Table1[[#This Row],[Month]],Table1[Year],Table1[[#This Row],[Year]],Table1[Mechanic Name],Table1[[#This Row],[Mechanic Name]]),"")</f>
        <v/>
      </c>
    </row>
    <row r="277" spans="3:12" hidden="1" x14ac:dyDescent="0.35">
      <c r="C277" s="80"/>
      <c r="K277" s="81">
        <f>SUM(Table1[[#This Row],[Technical Knowledge]:[Repeat job nahin aana]])/6</f>
        <v>0</v>
      </c>
      <c r="L277" s="79" t="str">
        <f>IFERROR(AVERAGEIFS(Table1[Final Score],Table1[Month],Table1[[#This Row],[Month]],Table1[Year],Table1[[#This Row],[Year]],Table1[Mechanic Name],Table1[[#This Row],[Mechanic Name]]),"")</f>
        <v/>
      </c>
    </row>
    <row r="278" spans="3:12" hidden="1" x14ac:dyDescent="0.35">
      <c r="C278" s="80"/>
      <c r="K278" s="81">
        <f>SUM(Table1[[#This Row],[Technical Knowledge]:[Repeat job nahin aana]])/6</f>
        <v>0</v>
      </c>
      <c r="L278" s="79" t="str">
        <f>IFERROR(AVERAGEIFS(Table1[Final Score],Table1[Month],Table1[[#This Row],[Month]],Table1[Year],Table1[[#This Row],[Year]],Table1[Mechanic Name],Table1[[#This Row],[Mechanic Name]]),"")</f>
        <v/>
      </c>
    </row>
    <row r="279" spans="3:12" hidden="1" x14ac:dyDescent="0.35">
      <c r="C279" s="80"/>
      <c r="K279" s="81">
        <f>SUM(Table1[[#This Row],[Technical Knowledge]:[Repeat job nahin aana]])/6</f>
        <v>0</v>
      </c>
      <c r="L279" s="79" t="str">
        <f>IFERROR(AVERAGEIFS(Table1[Final Score],Table1[Month],Table1[[#This Row],[Month]],Table1[Year],Table1[[#This Row],[Year]],Table1[Mechanic Name],Table1[[#This Row],[Mechanic Name]]),"")</f>
        <v/>
      </c>
    </row>
    <row r="280" spans="3:12" hidden="1" x14ac:dyDescent="0.35">
      <c r="C280" s="80"/>
      <c r="K280" s="81">
        <f>SUM(Table1[[#This Row],[Technical Knowledge]:[Repeat job nahin aana]])/6</f>
        <v>0</v>
      </c>
      <c r="L280" s="79" t="str">
        <f>IFERROR(AVERAGEIFS(Table1[Final Score],Table1[Month],Table1[[#This Row],[Month]],Table1[Year],Table1[[#This Row],[Year]],Table1[Mechanic Name],Table1[[#This Row],[Mechanic Name]]),"")</f>
        <v/>
      </c>
    </row>
    <row r="281" spans="3:12" hidden="1" x14ac:dyDescent="0.35">
      <c r="C281" s="80"/>
      <c r="K281" s="81">
        <f>SUM(Table1[[#This Row],[Technical Knowledge]:[Repeat job nahin aana]])/6</f>
        <v>0</v>
      </c>
      <c r="L281" s="79" t="str">
        <f>IFERROR(AVERAGEIFS(Table1[Final Score],Table1[Month],Table1[[#This Row],[Month]],Table1[Year],Table1[[#This Row],[Year]],Table1[Mechanic Name],Table1[[#This Row],[Mechanic Name]]),"")</f>
        <v/>
      </c>
    </row>
    <row r="282" spans="3:12" hidden="1" x14ac:dyDescent="0.35">
      <c r="C282" s="80"/>
      <c r="K282" s="81">
        <f>SUM(Table1[[#This Row],[Technical Knowledge]:[Repeat job nahin aana]])/6</f>
        <v>0</v>
      </c>
      <c r="L282" s="79" t="str">
        <f>IFERROR(AVERAGEIFS(Table1[Final Score],Table1[Month],Table1[[#This Row],[Month]],Table1[Year],Table1[[#This Row],[Year]],Table1[Mechanic Name],Table1[[#This Row],[Mechanic Name]]),"")</f>
        <v/>
      </c>
    </row>
    <row r="283" spans="3:12" hidden="1" x14ac:dyDescent="0.35">
      <c r="C283" s="80"/>
      <c r="K283" s="81">
        <f>SUM(Table1[[#This Row],[Technical Knowledge]:[Repeat job nahin aana]])/6</f>
        <v>0</v>
      </c>
      <c r="L283" s="79" t="str">
        <f>IFERROR(AVERAGEIFS(Table1[Final Score],Table1[Month],Table1[[#This Row],[Month]],Table1[Year],Table1[[#This Row],[Year]],Table1[Mechanic Name],Table1[[#This Row],[Mechanic Name]]),"")</f>
        <v/>
      </c>
    </row>
    <row r="284" spans="3:12" hidden="1" x14ac:dyDescent="0.35">
      <c r="C284" s="80"/>
      <c r="K284" s="81">
        <f>SUM(Table1[[#This Row],[Technical Knowledge]:[Repeat job nahin aana]])/6</f>
        <v>0</v>
      </c>
      <c r="L284" s="79" t="str">
        <f>IFERROR(AVERAGEIFS(Table1[Final Score],Table1[Month],Table1[[#This Row],[Month]],Table1[Year],Table1[[#This Row],[Year]],Table1[Mechanic Name],Table1[[#This Row],[Mechanic Name]]),"")</f>
        <v/>
      </c>
    </row>
    <row r="285" spans="3:12" hidden="1" x14ac:dyDescent="0.35">
      <c r="C285" s="80"/>
      <c r="K285" s="81">
        <f>SUM(Table1[[#This Row],[Technical Knowledge]:[Repeat job nahin aana]])/6</f>
        <v>0</v>
      </c>
      <c r="L285" s="79" t="str">
        <f>IFERROR(AVERAGEIFS(Table1[Final Score],Table1[Month],Table1[[#This Row],[Month]],Table1[Year],Table1[[#This Row],[Year]],Table1[Mechanic Name],Table1[[#This Row],[Mechanic Name]]),"")</f>
        <v/>
      </c>
    </row>
    <row r="286" spans="3:12" hidden="1" x14ac:dyDescent="0.35">
      <c r="C286" s="80"/>
      <c r="K286" s="81">
        <f>SUM(Table1[[#This Row],[Technical Knowledge]:[Repeat job nahin aana]])/6</f>
        <v>0</v>
      </c>
      <c r="L286" s="79" t="str">
        <f>IFERROR(AVERAGEIFS(Table1[Final Score],Table1[Month],Table1[[#This Row],[Month]],Table1[Year],Table1[[#This Row],[Year]],Table1[Mechanic Name],Table1[[#This Row],[Mechanic Name]]),"")</f>
        <v/>
      </c>
    </row>
    <row r="287" spans="3:12" hidden="1" x14ac:dyDescent="0.35">
      <c r="C287" s="80"/>
      <c r="K287" s="81">
        <f>SUM(Table1[[#This Row],[Technical Knowledge]:[Repeat job nahin aana]])/6</f>
        <v>0</v>
      </c>
      <c r="L287" s="79" t="str">
        <f>IFERROR(AVERAGEIFS(Table1[Final Score],Table1[Month],Table1[[#This Row],[Month]],Table1[Year],Table1[[#This Row],[Year]],Table1[Mechanic Name],Table1[[#This Row],[Mechanic Name]]),"")</f>
        <v/>
      </c>
    </row>
    <row r="288" spans="3:12" hidden="1" x14ac:dyDescent="0.35">
      <c r="C288" s="80"/>
      <c r="K288" s="81">
        <f>SUM(Table1[[#This Row],[Technical Knowledge]:[Repeat job nahin aana]])/6</f>
        <v>0</v>
      </c>
      <c r="L288" s="79" t="str">
        <f>IFERROR(AVERAGEIFS(Table1[Final Score],Table1[Month],Table1[[#This Row],[Month]],Table1[Year],Table1[[#This Row],[Year]],Table1[Mechanic Name],Table1[[#This Row],[Mechanic Name]]),"")</f>
        <v/>
      </c>
    </row>
    <row r="289" spans="3:12" hidden="1" x14ac:dyDescent="0.35">
      <c r="C289" s="80"/>
      <c r="K289" s="81">
        <f>SUM(Table1[[#This Row],[Technical Knowledge]:[Repeat job nahin aana]])/6</f>
        <v>0</v>
      </c>
      <c r="L289" s="79" t="str">
        <f>IFERROR(AVERAGEIFS(Table1[Final Score],Table1[Month],Table1[[#This Row],[Month]],Table1[Year],Table1[[#This Row],[Year]],Table1[Mechanic Name],Table1[[#This Row],[Mechanic Name]]),"")</f>
        <v/>
      </c>
    </row>
    <row r="290" spans="3:12" hidden="1" x14ac:dyDescent="0.35">
      <c r="C290" s="80"/>
      <c r="K290" s="81">
        <f>SUM(Table1[[#This Row],[Technical Knowledge]:[Repeat job nahin aana]])/6</f>
        <v>0</v>
      </c>
      <c r="L290" s="79" t="str">
        <f>IFERROR(AVERAGEIFS(Table1[Final Score],Table1[Month],Table1[[#This Row],[Month]],Table1[Year],Table1[[#This Row],[Year]],Table1[Mechanic Name],Table1[[#This Row],[Mechanic Name]]),"")</f>
        <v/>
      </c>
    </row>
    <row r="291" spans="3:12" hidden="1" x14ac:dyDescent="0.35">
      <c r="C291" s="80"/>
      <c r="K291" s="81">
        <f>SUM(Table1[[#This Row],[Technical Knowledge]:[Repeat job nahin aana]])/6</f>
        <v>0</v>
      </c>
      <c r="L291" s="79" t="str">
        <f>IFERROR(AVERAGEIFS(Table1[Final Score],Table1[Month],Table1[[#This Row],[Month]],Table1[Year],Table1[[#This Row],[Year]],Table1[Mechanic Name],Table1[[#This Row],[Mechanic Name]]),"")</f>
        <v/>
      </c>
    </row>
    <row r="292" spans="3:12" hidden="1" x14ac:dyDescent="0.35">
      <c r="C292" s="80"/>
      <c r="K292" s="81">
        <f>SUM(Table1[[#This Row],[Technical Knowledge]:[Repeat job nahin aana]])/6</f>
        <v>0</v>
      </c>
      <c r="L292" s="79" t="str">
        <f>IFERROR(AVERAGEIFS(Table1[Final Score],Table1[Month],Table1[[#This Row],[Month]],Table1[Year],Table1[[#This Row],[Year]],Table1[Mechanic Name],Table1[[#This Row],[Mechanic Name]]),"")</f>
        <v/>
      </c>
    </row>
    <row r="293" spans="3:12" hidden="1" x14ac:dyDescent="0.35">
      <c r="C293" s="80"/>
      <c r="K293" s="81">
        <f>SUM(Table1[[#This Row],[Technical Knowledge]:[Repeat job nahin aana]])/6</f>
        <v>0</v>
      </c>
      <c r="L293" s="79" t="str">
        <f>IFERROR(AVERAGEIFS(Table1[Final Score],Table1[Month],Table1[[#This Row],[Month]],Table1[Year],Table1[[#This Row],[Year]],Table1[Mechanic Name],Table1[[#This Row],[Mechanic Name]]),"")</f>
        <v/>
      </c>
    </row>
    <row r="294" spans="3:12" hidden="1" x14ac:dyDescent="0.35">
      <c r="C294" s="80"/>
      <c r="K294" s="81">
        <f>SUM(Table1[[#This Row],[Technical Knowledge]:[Repeat job nahin aana]])/6</f>
        <v>0</v>
      </c>
      <c r="L294" s="79" t="str">
        <f>IFERROR(AVERAGEIFS(Table1[Final Score],Table1[Month],Table1[[#This Row],[Month]],Table1[Year],Table1[[#This Row],[Year]],Table1[Mechanic Name],Table1[[#This Row],[Mechanic Name]]),"")</f>
        <v/>
      </c>
    </row>
    <row r="295" spans="3:12" hidden="1" x14ac:dyDescent="0.35">
      <c r="C295" s="80"/>
      <c r="K295" s="81">
        <f>SUM(Table1[[#This Row],[Technical Knowledge]:[Repeat job nahin aana]])/6</f>
        <v>0</v>
      </c>
      <c r="L295" s="79" t="str">
        <f>IFERROR(AVERAGEIFS(Table1[Final Score],Table1[Month],Table1[[#This Row],[Month]],Table1[Year],Table1[[#This Row],[Year]],Table1[Mechanic Name],Table1[[#This Row],[Mechanic Name]]),"")</f>
        <v/>
      </c>
    </row>
    <row r="296" spans="3:12" hidden="1" x14ac:dyDescent="0.35">
      <c r="C296" s="80"/>
      <c r="K296" s="81">
        <f>SUM(Table1[[#This Row],[Technical Knowledge]:[Repeat job nahin aana]])/6</f>
        <v>0</v>
      </c>
      <c r="L296" s="79" t="str">
        <f>IFERROR(AVERAGEIFS(Table1[Final Score],Table1[Month],Table1[[#This Row],[Month]],Table1[Year],Table1[[#This Row],[Year]],Table1[Mechanic Name],Table1[[#This Row],[Mechanic Name]]),"")</f>
        <v/>
      </c>
    </row>
    <row r="297" spans="3:12" hidden="1" x14ac:dyDescent="0.35">
      <c r="C297" s="80"/>
      <c r="K297" s="81">
        <f>SUM(Table1[[#This Row],[Technical Knowledge]:[Repeat job nahin aana]])/6</f>
        <v>0</v>
      </c>
      <c r="L297" s="79" t="str">
        <f>IFERROR(AVERAGEIFS(Table1[Final Score],Table1[Month],Table1[[#This Row],[Month]],Table1[Year],Table1[[#This Row],[Year]],Table1[Mechanic Name],Table1[[#This Row],[Mechanic Name]]),"")</f>
        <v/>
      </c>
    </row>
    <row r="298" spans="3:12" hidden="1" x14ac:dyDescent="0.35">
      <c r="C298" s="80"/>
      <c r="K298" s="81">
        <f>SUM(Table1[[#This Row],[Technical Knowledge]:[Repeat job nahin aana]])/6</f>
        <v>0</v>
      </c>
      <c r="L298" s="79" t="str">
        <f>IFERROR(AVERAGEIFS(Table1[Final Score],Table1[Month],Table1[[#This Row],[Month]],Table1[Year],Table1[[#This Row],[Year]],Table1[Mechanic Name],Table1[[#This Row],[Mechanic Name]]),"")</f>
        <v/>
      </c>
    </row>
    <row r="299" spans="3:12" hidden="1" x14ac:dyDescent="0.35">
      <c r="C299" s="80"/>
      <c r="K299" s="81">
        <f>SUM(Table1[[#This Row],[Technical Knowledge]:[Repeat job nahin aana]])/6</f>
        <v>0</v>
      </c>
      <c r="L299" s="79" t="str">
        <f>IFERROR(AVERAGEIFS(Table1[Final Score],Table1[Month],Table1[[#This Row],[Month]],Table1[Year],Table1[[#This Row],[Year]],Table1[Mechanic Name],Table1[[#This Row],[Mechanic Name]]),"")</f>
        <v/>
      </c>
    </row>
    <row r="300" spans="3:12" hidden="1" x14ac:dyDescent="0.35">
      <c r="C300" s="80"/>
      <c r="K300" s="81">
        <f>SUM(Table1[[#This Row],[Technical Knowledge]:[Repeat job nahin aana]])/6</f>
        <v>0</v>
      </c>
      <c r="L300" s="79" t="str">
        <f>IFERROR(AVERAGEIFS(Table1[Final Score],Table1[Month],Table1[[#This Row],[Month]],Table1[Year],Table1[[#This Row],[Year]],Table1[Mechanic Name],Table1[[#This Row],[Mechanic Name]]),"")</f>
        <v/>
      </c>
    </row>
    <row r="301" spans="3:12" hidden="1" x14ac:dyDescent="0.35">
      <c r="C301" s="80"/>
      <c r="K301" s="81">
        <f>SUM(Table1[[#This Row],[Technical Knowledge]:[Repeat job nahin aana]])/6</f>
        <v>0</v>
      </c>
      <c r="L301" s="79" t="str">
        <f>IFERROR(AVERAGEIFS(Table1[Final Score],Table1[Month],Table1[[#This Row],[Month]],Table1[Year],Table1[[#This Row],[Year]],Table1[Mechanic Name],Table1[[#This Row],[Mechanic Name]]),"")</f>
        <v/>
      </c>
    </row>
    <row r="302" spans="3:12" hidden="1" x14ac:dyDescent="0.35">
      <c r="C302" s="80"/>
      <c r="K302" s="81">
        <f>SUM(Table1[[#This Row],[Technical Knowledge]:[Repeat job nahin aana]])/6</f>
        <v>0</v>
      </c>
      <c r="L302" s="79" t="str">
        <f>IFERROR(AVERAGEIFS(Table1[Final Score],Table1[Month],Table1[[#This Row],[Month]],Table1[Year],Table1[[#This Row],[Year]],Table1[Mechanic Name],Table1[[#This Row],[Mechanic Name]]),"")</f>
        <v/>
      </c>
    </row>
    <row r="303" spans="3:12" hidden="1" x14ac:dyDescent="0.35">
      <c r="C303" s="80"/>
      <c r="K303" s="81">
        <f>SUM(Table1[[#This Row],[Technical Knowledge]:[Repeat job nahin aana]])/6</f>
        <v>0</v>
      </c>
      <c r="L303" s="79" t="str">
        <f>IFERROR(AVERAGEIFS(Table1[Final Score],Table1[Month],Table1[[#This Row],[Month]],Table1[Year],Table1[[#This Row],[Year]],Table1[Mechanic Name],Table1[[#This Row],[Mechanic Name]]),"")</f>
        <v/>
      </c>
    </row>
    <row r="304" spans="3:12" hidden="1" x14ac:dyDescent="0.35">
      <c r="C304" s="80"/>
      <c r="K304" s="81">
        <f>SUM(Table1[[#This Row],[Technical Knowledge]:[Repeat job nahin aana]])/6</f>
        <v>0</v>
      </c>
      <c r="L304" s="79" t="str">
        <f>IFERROR(AVERAGEIFS(Table1[Final Score],Table1[Month],Table1[[#This Row],[Month]],Table1[Year],Table1[[#This Row],[Year]],Table1[Mechanic Name],Table1[[#This Row],[Mechanic Name]]),"")</f>
        <v/>
      </c>
    </row>
    <row r="305" spans="3:12" hidden="1" x14ac:dyDescent="0.35">
      <c r="C305" s="80"/>
      <c r="K305" s="81">
        <f>SUM(Table1[[#This Row],[Technical Knowledge]:[Repeat job nahin aana]])/6</f>
        <v>0</v>
      </c>
      <c r="L305" s="79" t="str">
        <f>IFERROR(AVERAGEIFS(Table1[Final Score],Table1[Month],Table1[[#This Row],[Month]],Table1[Year],Table1[[#This Row],[Year]],Table1[Mechanic Name],Table1[[#This Row],[Mechanic Name]]),"")</f>
        <v/>
      </c>
    </row>
    <row r="306" spans="3:12" hidden="1" x14ac:dyDescent="0.35">
      <c r="C306" s="80"/>
      <c r="K306" s="81">
        <f>SUM(Table1[[#This Row],[Technical Knowledge]:[Repeat job nahin aana]])/6</f>
        <v>0</v>
      </c>
      <c r="L306" s="79" t="str">
        <f>IFERROR(AVERAGEIFS(Table1[Final Score],Table1[Month],Table1[[#This Row],[Month]],Table1[Year],Table1[[#This Row],[Year]],Table1[Mechanic Name],Table1[[#This Row],[Mechanic Name]]),"")</f>
        <v/>
      </c>
    </row>
    <row r="307" spans="3:12" hidden="1" x14ac:dyDescent="0.35">
      <c r="C307" s="80"/>
      <c r="K307" s="81">
        <f>SUM(Table1[[#This Row],[Technical Knowledge]:[Repeat job nahin aana]])/6</f>
        <v>0</v>
      </c>
      <c r="L307" s="79" t="str">
        <f>IFERROR(AVERAGEIFS(Table1[Final Score],Table1[Month],Table1[[#This Row],[Month]],Table1[Year],Table1[[#This Row],[Year]],Table1[Mechanic Name],Table1[[#This Row],[Mechanic Name]]),"")</f>
        <v/>
      </c>
    </row>
    <row r="308" spans="3:12" hidden="1" x14ac:dyDescent="0.35">
      <c r="C308" s="80"/>
      <c r="K308" s="81">
        <f>SUM(Table1[[#This Row],[Technical Knowledge]:[Repeat job nahin aana]])/6</f>
        <v>0</v>
      </c>
      <c r="L308" s="79" t="str">
        <f>IFERROR(AVERAGEIFS(Table1[Final Score],Table1[Month],Table1[[#This Row],[Month]],Table1[Year],Table1[[#This Row],[Year]],Table1[Mechanic Name],Table1[[#This Row],[Mechanic Name]]),"")</f>
        <v/>
      </c>
    </row>
    <row r="309" spans="3:12" hidden="1" x14ac:dyDescent="0.35">
      <c r="C309" s="80"/>
      <c r="K309" s="81">
        <f>SUM(Table1[[#This Row],[Technical Knowledge]:[Repeat job nahin aana]])/6</f>
        <v>0</v>
      </c>
      <c r="L309" s="79" t="str">
        <f>IFERROR(AVERAGEIFS(Table1[Final Score],Table1[Month],Table1[[#This Row],[Month]],Table1[Year],Table1[[#This Row],[Year]],Table1[Mechanic Name],Table1[[#This Row],[Mechanic Name]]),"")</f>
        <v/>
      </c>
    </row>
    <row r="310" spans="3:12" hidden="1" x14ac:dyDescent="0.35">
      <c r="C310" s="80"/>
      <c r="K310" s="81">
        <f>SUM(Table1[[#This Row],[Technical Knowledge]:[Repeat job nahin aana]])/6</f>
        <v>0</v>
      </c>
      <c r="L310" s="79" t="str">
        <f>IFERROR(AVERAGEIFS(Table1[Final Score],Table1[Month],Table1[[#This Row],[Month]],Table1[Year],Table1[[#This Row],[Year]],Table1[Mechanic Name],Table1[[#This Row],[Mechanic Name]]),"")</f>
        <v/>
      </c>
    </row>
    <row r="311" spans="3:12" hidden="1" x14ac:dyDescent="0.35">
      <c r="C311" s="80"/>
      <c r="K311" s="81">
        <f>SUM(Table1[[#This Row],[Technical Knowledge]:[Repeat job nahin aana]])/6</f>
        <v>0</v>
      </c>
      <c r="L311" s="79" t="str">
        <f>IFERROR(AVERAGEIFS(Table1[Final Score],Table1[Month],Table1[[#This Row],[Month]],Table1[Year],Table1[[#This Row],[Year]],Table1[Mechanic Name],Table1[[#This Row],[Mechanic Name]]),"")</f>
        <v/>
      </c>
    </row>
    <row r="312" spans="3:12" hidden="1" x14ac:dyDescent="0.35">
      <c r="C312" s="80"/>
      <c r="K312" s="81">
        <f>SUM(Table1[[#This Row],[Technical Knowledge]:[Repeat job nahin aana]])/6</f>
        <v>0</v>
      </c>
      <c r="L312" s="79" t="str">
        <f>IFERROR(AVERAGEIFS(Table1[Final Score],Table1[Month],Table1[[#This Row],[Month]],Table1[Year],Table1[[#This Row],[Year]],Table1[Mechanic Name],Table1[[#This Row],[Mechanic Name]]),"")</f>
        <v/>
      </c>
    </row>
    <row r="313" spans="3:12" hidden="1" x14ac:dyDescent="0.35">
      <c r="C313" s="80"/>
      <c r="K313" s="81">
        <f>SUM(Table1[[#This Row],[Technical Knowledge]:[Repeat job nahin aana]])/6</f>
        <v>0</v>
      </c>
      <c r="L313" s="79" t="str">
        <f>IFERROR(AVERAGEIFS(Table1[Final Score],Table1[Month],Table1[[#This Row],[Month]],Table1[Year],Table1[[#This Row],[Year]],Table1[Mechanic Name],Table1[[#This Row],[Mechanic Name]]),"")</f>
        <v/>
      </c>
    </row>
    <row r="314" spans="3:12" hidden="1" x14ac:dyDescent="0.35">
      <c r="C314" s="80"/>
      <c r="K314" s="81">
        <f>SUM(Table1[[#This Row],[Technical Knowledge]:[Repeat job nahin aana]])/6</f>
        <v>0</v>
      </c>
      <c r="L314" s="79" t="str">
        <f>IFERROR(AVERAGEIFS(Table1[Final Score],Table1[Month],Table1[[#This Row],[Month]],Table1[Year],Table1[[#This Row],[Year]],Table1[Mechanic Name],Table1[[#This Row],[Mechanic Name]]),"")</f>
        <v/>
      </c>
    </row>
    <row r="315" spans="3:12" hidden="1" x14ac:dyDescent="0.35">
      <c r="C315" s="80"/>
      <c r="K315" s="81">
        <f>SUM(Table1[[#This Row],[Technical Knowledge]:[Repeat job nahin aana]])/6</f>
        <v>0</v>
      </c>
      <c r="L315" s="79" t="str">
        <f>IFERROR(AVERAGEIFS(Table1[Final Score],Table1[Month],Table1[[#This Row],[Month]],Table1[Year],Table1[[#This Row],[Year]],Table1[Mechanic Name],Table1[[#This Row],[Mechanic Name]]),"")</f>
        <v/>
      </c>
    </row>
    <row r="316" spans="3:12" hidden="1" x14ac:dyDescent="0.35">
      <c r="C316" s="80"/>
      <c r="K316" s="81">
        <f>SUM(Table1[[#This Row],[Technical Knowledge]:[Repeat job nahin aana]])/6</f>
        <v>0</v>
      </c>
      <c r="L316" s="79" t="str">
        <f>IFERROR(AVERAGEIFS(Table1[Final Score],Table1[Month],Table1[[#This Row],[Month]],Table1[Year],Table1[[#This Row],[Year]],Table1[Mechanic Name],Table1[[#This Row],[Mechanic Name]]),"")</f>
        <v/>
      </c>
    </row>
    <row r="317" spans="3:12" hidden="1" x14ac:dyDescent="0.35">
      <c r="C317" s="80"/>
      <c r="K317" s="81">
        <f>SUM(Table1[[#This Row],[Technical Knowledge]:[Repeat job nahin aana]])/6</f>
        <v>0</v>
      </c>
      <c r="L317" s="79" t="str">
        <f>IFERROR(AVERAGEIFS(Table1[Final Score],Table1[Month],Table1[[#This Row],[Month]],Table1[Year],Table1[[#This Row],[Year]],Table1[Mechanic Name],Table1[[#This Row],[Mechanic Name]]),"")</f>
        <v/>
      </c>
    </row>
    <row r="318" spans="3:12" hidden="1" x14ac:dyDescent="0.35">
      <c r="C318" s="80"/>
      <c r="K318" s="81">
        <f>SUM(Table1[[#This Row],[Technical Knowledge]:[Repeat job nahin aana]])/6</f>
        <v>0</v>
      </c>
      <c r="L318" s="79" t="str">
        <f>IFERROR(AVERAGEIFS(Table1[Final Score],Table1[Month],Table1[[#This Row],[Month]],Table1[Year],Table1[[#This Row],[Year]],Table1[Mechanic Name],Table1[[#This Row],[Mechanic Name]]),"")</f>
        <v/>
      </c>
    </row>
    <row r="319" spans="3:12" hidden="1" x14ac:dyDescent="0.35">
      <c r="C319" s="80"/>
      <c r="K319" s="81">
        <f>SUM(Table1[[#This Row],[Technical Knowledge]:[Repeat job nahin aana]])/6</f>
        <v>0</v>
      </c>
      <c r="L319" s="79" t="str">
        <f>IFERROR(AVERAGEIFS(Table1[Final Score],Table1[Month],Table1[[#This Row],[Month]],Table1[Year],Table1[[#This Row],[Year]],Table1[Mechanic Name],Table1[[#This Row],[Mechanic Name]]),"")</f>
        <v/>
      </c>
    </row>
    <row r="320" spans="3:12" hidden="1" x14ac:dyDescent="0.35">
      <c r="C320" s="80"/>
      <c r="K320" s="81">
        <f>SUM(Table1[[#This Row],[Technical Knowledge]:[Repeat job nahin aana]])/6</f>
        <v>0</v>
      </c>
      <c r="L320" s="79" t="str">
        <f>IFERROR(AVERAGEIFS(Table1[Final Score],Table1[Month],Table1[[#This Row],[Month]],Table1[Year],Table1[[#This Row],[Year]],Table1[Mechanic Name],Table1[[#This Row],[Mechanic Name]]),"")</f>
        <v/>
      </c>
    </row>
    <row r="321" spans="3:12" hidden="1" x14ac:dyDescent="0.35">
      <c r="C321" s="80"/>
      <c r="K321" s="81">
        <f>SUM(Table1[[#This Row],[Technical Knowledge]:[Repeat job nahin aana]])/6</f>
        <v>0</v>
      </c>
      <c r="L321" s="79" t="str">
        <f>IFERROR(AVERAGEIFS(Table1[Final Score],Table1[Month],Table1[[#This Row],[Month]],Table1[Year],Table1[[#This Row],[Year]],Table1[Mechanic Name],Table1[[#This Row],[Mechanic Name]]),"")</f>
        <v/>
      </c>
    </row>
    <row r="322" spans="3:12" hidden="1" x14ac:dyDescent="0.35">
      <c r="C322" s="80"/>
      <c r="K322" s="81">
        <f>SUM(Table1[[#This Row],[Technical Knowledge]:[Repeat job nahin aana]])/6</f>
        <v>0</v>
      </c>
      <c r="L322" s="79" t="str">
        <f>IFERROR(AVERAGEIFS(Table1[Final Score],Table1[Month],Table1[[#This Row],[Month]],Table1[Year],Table1[[#This Row],[Year]],Table1[Mechanic Name],Table1[[#This Row],[Mechanic Name]]),"")</f>
        <v/>
      </c>
    </row>
    <row r="323" spans="3:12" hidden="1" x14ac:dyDescent="0.35">
      <c r="C323" s="80"/>
      <c r="K323" s="81">
        <f>SUM(Table1[[#This Row],[Technical Knowledge]:[Repeat job nahin aana]])/6</f>
        <v>0</v>
      </c>
      <c r="L323" s="79" t="str">
        <f>IFERROR(AVERAGEIFS(Table1[Final Score],Table1[Month],Table1[[#This Row],[Month]],Table1[Year],Table1[[#This Row],[Year]],Table1[Mechanic Name],Table1[[#This Row],[Mechanic Name]]),"")</f>
        <v/>
      </c>
    </row>
    <row r="324" spans="3:12" hidden="1" x14ac:dyDescent="0.35">
      <c r="C324" s="80"/>
      <c r="K324" s="81">
        <f>SUM(Table1[[#This Row],[Technical Knowledge]:[Repeat job nahin aana]])/6</f>
        <v>0</v>
      </c>
      <c r="L324" s="79" t="str">
        <f>IFERROR(AVERAGEIFS(Table1[Final Score],Table1[Month],Table1[[#This Row],[Month]],Table1[Year],Table1[[#This Row],[Year]],Table1[Mechanic Name],Table1[[#This Row],[Mechanic Name]]),"")</f>
        <v/>
      </c>
    </row>
    <row r="325" spans="3:12" hidden="1" x14ac:dyDescent="0.35">
      <c r="C325" s="80"/>
      <c r="K325" s="81">
        <f>SUM(Table1[[#This Row],[Technical Knowledge]:[Repeat job nahin aana]])/6</f>
        <v>0</v>
      </c>
      <c r="L325" s="79" t="str">
        <f>IFERROR(AVERAGEIFS(Table1[Final Score],Table1[Month],Table1[[#This Row],[Month]],Table1[Year],Table1[[#This Row],[Year]],Table1[Mechanic Name],Table1[[#This Row],[Mechanic Name]]),"")</f>
        <v/>
      </c>
    </row>
    <row r="326" spans="3:12" hidden="1" x14ac:dyDescent="0.35">
      <c r="C326" s="80"/>
      <c r="K326" s="81">
        <f>SUM(Table1[[#This Row],[Technical Knowledge]:[Repeat job nahin aana]])/6</f>
        <v>0</v>
      </c>
      <c r="L326" s="79" t="str">
        <f>IFERROR(AVERAGEIFS(Table1[Final Score],Table1[Month],Table1[[#This Row],[Month]],Table1[Year],Table1[[#This Row],[Year]],Table1[Mechanic Name],Table1[[#This Row],[Mechanic Name]]),"")</f>
        <v/>
      </c>
    </row>
    <row r="327" spans="3:12" hidden="1" x14ac:dyDescent="0.35">
      <c r="C327" s="80"/>
      <c r="K327" s="81">
        <f>SUM(Table1[[#This Row],[Technical Knowledge]:[Repeat job nahin aana]])/6</f>
        <v>0</v>
      </c>
      <c r="L327" s="79" t="str">
        <f>IFERROR(AVERAGEIFS(Table1[Final Score],Table1[Month],Table1[[#This Row],[Month]],Table1[Year],Table1[[#This Row],[Year]],Table1[Mechanic Name],Table1[[#This Row],[Mechanic Name]]),"")</f>
        <v/>
      </c>
    </row>
    <row r="328" spans="3:12" hidden="1" x14ac:dyDescent="0.35">
      <c r="C328" s="80"/>
      <c r="K328" s="81">
        <f>SUM(Table1[[#This Row],[Technical Knowledge]:[Repeat job nahin aana]])/6</f>
        <v>0</v>
      </c>
      <c r="L328" s="79" t="str">
        <f>IFERROR(AVERAGEIFS(Table1[Final Score],Table1[Month],Table1[[#This Row],[Month]],Table1[Year],Table1[[#This Row],[Year]],Table1[Mechanic Name],Table1[[#This Row],[Mechanic Name]]),"")</f>
        <v/>
      </c>
    </row>
    <row r="329" spans="3:12" hidden="1" x14ac:dyDescent="0.35">
      <c r="C329" s="80"/>
      <c r="K329" s="81">
        <f>SUM(Table1[[#This Row],[Technical Knowledge]:[Repeat job nahin aana]])/6</f>
        <v>0</v>
      </c>
      <c r="L329" s="79" t="str">
        <f>IFERROR(AVERAGEIFS(Table1[Final Score],Table1[Month],Table1[[#This Row],[Month]],Table1[Year],Table1[[#This Row],[Year]],Table1[Mechanic Name],Table1[[#This Row],[Mechanic Name]]),"")</f>
        <v/>
      </c>
    </row>
    <row r="330" spans="3:12" hidden="1" x14ac:dyDescent="0.35">
      <c r="C330" s="80"/>
      <c r="K330" s="81">
        <f>SUM(Table1[[#This Row],[Technical Knowledge]:[Repeat job nahin aana]])/6</f>
        <v>0</v>
      </c>
      <c r="L330" s="79" t="str">
        <f>IFERROR(AVERAGEIFS(Table1[Final Score],Table1[Month],Table1[[#This Row],[Month]],Table1[Year],Table1[[#This Row],[Year]],Table1[Mechanic Name],Table1[[#This Row],[Mechanic Name]]),"")</f>
        <v/>
      </c>
    </row>
    <row r="331" spans="3:12" hidden="1" x14ac:dyDescent="0.35">
      <c r="C331" s="80"/>
      <c r="K331" s="81">
        <f>SUM(Table1[[#This Row],[Technical Knowledge]:[Repeat job nahin aana]])/6</f>
        <v>0</v>
      </c>
      <c r="L331" s="79" t="str">
        <f>IFERROR(AVERAGEIFS(Table1[Final Score],Table1[Month],Table1[[#This Row],[Month]],Table1[Year],Table1[[#This Row],[Year]],Table1[Mechanic Name],Table1[[#This Row],[Mechanic Name]]),"")</f>
        <v/>
      </c>
    </row>
    <row r="332" spans="3:12" hidden="1" x14ac:dyDescent="0.35">
      <c r="C332" s="80"/>
      <c r="K332" s="81">
        <f>SUM(Table1[[#This Row],[Technical Knowledge]:[Repeat job nahin aana]])/6</f>
        <v>0</v>
      </c>
      <c r="L332" s="79" t="str">
        <f>IFERROR(AVERAGEIFS(Table1[Final Score],Table1[Month],Table1[[#This Row],[Month]],Table1[Year],Table1[[#This Row],[Year]],Table1[Mechanic Name],Table1[[#This Row],[Mechanic Name]]),"")</f>
        <v/>
      </c>
    </row>
    <row r="333" spans="3:12" hidden="1" x14ac:dyDescent="0.35">
      <c r="C333" s="80"/>
      <c r="K333" s="81">
        <f>SUM(Table1[[#This Row],[Technical Knowledge]:[Repeat job nahin aana]])/6</f>
        <v>0</v>
      </c>
      <c r="L333" s="79" t="str">
        <f>IFERROR(AVERAGEIFS(Table1[Final Score],Table1[Month],Table1[[#This Row],[Month]],Table1[Year],Table1[[#This Row],[Year]],Table1[Mechanic Name],Table1[[#This Row],[Mechanic Name]]),"")</f>
        <v/>
      </c>
    </row>
    <row r="334" spans="3:12" hidden="1" x14ac:dyDescent="0.35">
      <c r="C334" s="80"/>
      <c r="K334" s="81">
        <f>SUM(Table1[[#This Row],[Technical Knowledge]:[Repeat job nahin aana]])/6</f>
        <v>0</v>
      </c>
      <c r="L334" s="79" t="str">
        <f>IFERROR(AVERAGEIFS(Table1[Final Score],Table1[Month],Table1[[#This Row],[Month]],Table1[Year],Table1[[#This Row],[Year]],Table1[Mechanic Name],Table1[[#This Row],[Mechanic Name]]),"")</f>
        <v/>
      </c>
    </row>
    <row r="335" spans="3:12" hidden="1" x14ac:dyDescent="0.35">
      <c r="C335" s="80"/>
      <c r="K335" s="81">
        <f>SUM(Table1[[#This Row],[Technical Knowledge]:[Repeat job nahin aana]])/6</f>
        <v>0</v>
      </c>
      <c r="L335" s="79" t="str">
        <f>IFERROR(AVERAGEIFS(Table1[Final Score],Table1[Month],Table1[[#This Row],[Month]],Table1[Year],Table1[[#This Row],[Year]],Table1[Mechanic Name],Table1[[#This Row],[Mechanic Name]]),"")</f>
        <v/>
      </c>
    </row>
    <row r="336" spans="3:12" hidden="1" x14ac:dyDescent="0.35">
      <c r="C336" s="80"/>
      <c r="K336" s="81">
        <f>SUM(Table1[[#This Row],[Technical Knowledge]:[Repeat job nahin aana]])/6</f>
        <v>0</v>
      </c>
      <c r="L336" s="79" t="str">
        <f>IFERROR(AVERAGEIFS(Table1[Final Score],Table1[Month],Table1[[#This Row],[Month]],Table1[Year],Table1[[#This Row],[Year]],Table1[Mechanic Name],Table1[[#This Row],[Mechanic Name]]),"")</f>
        <v/>
      </c>
    </row>
    <row r="337" spans="3:12" hidden="1" x14ac:dyDescent="0.35">
      <c r="C337" s="80"/>
      <c r="K337" s="81">
        <f>SUM(Table1[[#This Row],[Technical Knowledge]:[Repeat job nahin aana]])/6</f>
        <v>0</v>
      </c>
      <c r="L337" s="79" t="str">
        <f>IFERROR(AVERAGEIFS(Table1[Final Score],Table1[Month],Table1[[#This Row],[Month]],Table1[Year],Table1[[#This Row],[Year]],Table1[Mechanic Name],Table1[[#This Row],[Mechanic Name]]),"")</f>
        <v/>
      </c>
    </row>
    <row r="338" spans="3:12" hidden="1" x14ac:dyDescent="0.35">
      <c r="C338" s="80"/>
      <c r="K338" s="81">
        <f>SUM(Table1[[#This Row],[Technical Knowledge]:[Repeat job nahin aana]])/6</f>
        <v>0</v>
      </c>
      <c r="L338" s="79" t="str">
        <f>IFERROR(AVERAGEIFS(Table1[Final Score],Table1[Month],Table1[[#This Row],[Month]],Table1[Year],Table1[[#This Row],[Year]],Table1[Mechanic Name],Table1[[#This Row],[Mechanic Name]]),"")</f>
        <v/>
      </c>
    </row>
    <row r="339" spans="3:12" hidden="1" x14ac:dyDescent="0.35">
      <c r="C339" s="80"/>
      <c r="K339" s="81">
        <f>SUM(Table1[[#This Row],[Technical Knowledge]:[Repeat job nahin aana]])/6</f>
        <v>0</v>
      </c>
      <c r="L339" s="79" t="str">
        <f>IFERROR(AVERAGEIFS(Table1[Final Score],Table1[Month],Table1[[#This Row],[Month]],Table1[Year],Table1[[#This Row],[Year]],Table1[Mechanic Name],Table1[[#This Row],[Mechanic Name]]),"")</f>
        <v/>
      </c>
    </row>
    <row r="340" spans="3:12" hidden="1" x14ac:dyDescent="0.35">
      <c r="C340" s="80"/>
      <c r="K340" s="81">
        <f>SUM(Table1[[#This Row],[Technical Knowledge]:[Repeat job nahin aana]])/6</f>
        <v>0</v>
      </c>
      <c r="L340" s="79" t="str">
        <f>IFERROR(AVERAGEIFS(Table1[Final Score],Table1[Month],Table1[[#This Row],[Month]],Table1[Year],Table1[[#This Row],[Year]],Table1[Mechanic Name],Table1[[#This Row],[Mechanic Name]]),"")</f>
        <v/>
      </c>
    </row>
    <row r="341" spans="3:12" hidden="1" x14ac:dyDescent="0.35">
      <c r="C341" s="80"/>
      <c r="K341" s="81">
        <f>SUM(Table1[[#This Row],[Technical Knowledge]:[Repeat job nahin aana]])/6</f>
        <v>0</v>
      </c>
      <c r="L341" s="79" t="str">
        <f>IFERROR(AVERAGEIFS(Table1[Final Score],Table1[Month],Table1[[#This Row],[Month]],Table1[Year],Table1[[#This Row],[Year]],Table1[Mechanic Name],Table1[[#This Row],[Mechanic Name]]),"")</f>
        <v/>
      </c>
    </row>
    <row r="342" spans="3:12" hidden="1" x14ac:dyDescent="0.35">
      <c r="C342" s="80"/>
      <c r="K342" s="81">
        <f>SUM(Table1[[#This Row],[Technical Knowledge]:[Repeat job nahin aana]])/6</f>
        <v>0</v>
      </c>
      <c r="L342" s="79" t="str">
        <f>IFERROR(AVERAGEIFS(Table1[Final Score],Table1[Month],Table1[[#This Row],[Month]],Table1[Year],Table1[[#This Row],[Year]],Table1[Mechanic Name],Table1[[#This Row],[Mechanic Name]]),"")</f>
        <v/>
      </c>
    </row>
    <row r="343" spans="3:12" hidden="1" x14ac:dyDescent="0.35">
      <c r="C343" s="80"/>
      <c r="K343" s="81">
        <f>SUM(Table1[[#This Row],[Technical Knowledge]:[Repeat job nahin aana]])/6</f>
        <v>0</v>
      </c>
      <c r="L343" s="79" t="str">
        <f>IFERROR(AVERAGEIFS(Table1[Final Score],Table1[Month],Table1[[#This Row],[Month]],Table1[Year],Table1[[#This Row],[Year]],Table1[Mechanic Name],Table1[[#This Row],[Mechanic Name]]),"")</f>
        <v/>
      </c>
    </row>
    <row r="344" spans="3:12" hidden="1" x14ac:dyDescent="0.35">
      <c r="C344" s="80"/>
      <c r="K344" s="81">
        <f>SUM(Table1[[#This Row],[Technical Knowledge]:[Repeat job nahin aana]])/6</f>
        <v>0</v>
      </c>
      <c r="L344" s="79" t="str">
        <f>IFERROR(AVERAGEIFS(Table1[Final Score],Table1[Month],Table1[[#This Row],[Month]],Table1[Year],Table1[[#This Row],[Year]],Table1[Mechanic Name],Table1[[#This Row],[Mechanic Name]]),"")</f>
        <v/>
      </c>
    </row>
    <row r="345" spans="3:12" hidden="1" x14ac:dyDescent="0.35">
      <c r="C345" s="80"/>
      <c r="K345" s="81">
        <f>SUM(Table1[[#This Row],[Technical Knowledge]:[Repeat job nahin aana]])/6</f>
        <v>0</v>
      </c>
      <c r="L345" s="79" t="str">
        <f>IFERROR(AVERAGEIFS(Table1[Final Score],Table1[Month],Table1[[#This Row],[Month]],Table1[Year],Table1[[#This Row],[Year]],Table1[Mechanic Name],Table1[[#This Row],[Mechanic Name]]),"")</f>
        <v/>
      </c>
    </row>
    <row r="346" spans="3:12" hidden="1" x14ac:dyDescent="0.35">
      <c r="C346" s="80"/>
      <c r="K346" s="81">
        <f>SUM(Table1[[#This Row],[Technical Knowledge]:[Repeat job nahin aana]])/6</f>
        <v>0</v>
      </c>
      <c r="L346" s="79" t="str">
        <f>IFERROR(AVERAGEIFS(Table1[Final Score],Table1[Month],Table1[[#This Row],[Month]],Table1[Year],Table1[[#This Row],[Year]],Table1[Mechanic Name],Table1[[#This Row],[Mechanic Name]]),"")</f>
        <v/>
      </c>
    </row>
    <row r="347" spans="3:12" hidden="1" x14ac:dyDescent="0.35">
      <c r="C347" s="80"/>
      <c r="K347" s="81">
        <f>SUM(Table1[[#This Row],[Technical Knowledge]:[Repeat job nahin aana]])/6</f>
        <v>0</v>
      </c>
      <c r="L347" s="79" t="str">
        <f>IFERROR(AVERAGEIFS(Table1[Final Score],Table1[Month],Table1[[#This Row],[Month]],Table1[Year],Table1[[#This Row],[Year]],Table1[Mechanic Name],Table1[[#This Row],[Mechanic Name]]),"")</f>
        <v/>
      </c>
    </row>
    <row r="348" spans="3:12" hidden="1" x14ac:dyDescent="0.35">
      <c r="C348" s="80"/>
      <c r="K348" s="81">
        <f>SUM(Table1[[#This Row],[Technical Knowledge]:[Repeat job nahin aana]])/6</f>
        <v>0</v>
      </c>
      <c r="L348" s="79" t="str">
        <f>IFERROR(AVERAGEIFS(Table1[Final Score],Table1[Month],Table1[[#This Row],[Month]],Table1[Year],Table1[[#This Row],[Year]],Table1[Mechanic Name],Table1[[#This Row],[Mechanic Name]]),"")</f>
        <v/>
      </c>
    </row>
    <row r="349" spans="3:12" hidden="1" x14ac:dyDescent="0.35">
      <c r="C349" s="80"/>
      <c r="K349" s="81">
        <f>SUM(Table1[[#This Row],[Technical Knowledge]:[Repeat job nahin aana]])/6</f>
        <v>0</v>
      </c>
      <c r="L349" s="79" t="str">
        <f>IFERROR(AVERAGEIFS(Table1[Final Score],Table1[Month],Table1[[#This Row],[Month]],Table1[Year],Table1[[#This Row],[Year]],Table1[Mechanic Name],Table1[[#This Row],[Mechanic Name]]),"")</f>
        <v/>
      </c>
    </row>
    <row r="350" spans="3:12" hidden="1" x14ac:dyDescent="0.35">
      <c r="C350" s="80"/>
      <c r="K350" s="81">
        <f>SUM(Table1[[#This Row],[Technical Knowledge]:[Repeat job nahin aana]])/6</f>
        <v>0</v>
      </c>
      <c r="L350" s="79" t="str">
        <f>IFERROR(AVERAGEIFS(Table1[Final Score],Table1[Month],Table1[[#This Row],[Month]],Table1[Year],Table1[[#This Row],[Year]],Table1[Mechanic Name],Table1[[#This Row],[Mechanic Name]]),"")</f>
        <v/>
      </c>
    </row>
    <row r="351" spans="3:12" hidden="1" x14ac:dyDescent="0.35">
      <c r="C351" s="80"/>
      <c r="K351" s="81">
        <f>SUM(Table1[[#This Row],[Technical Knowledge]:[Repeat job nahin aana]])/6</f>
        <v>0</v>
      </c>
      <c r="L351" s="79" t="str">
        <f>IFERROR(AVERAGEIFS(Table1[Final Score],Table1[Month],Table1[[#This Row],[Month]],Table1[Year],Table1[[#This Row],[Year]],Table1[Mechanic Name],Table1[[#This Row],[Mechanic Name]]),"")</f>
        <v/>
      </c>
    </row>
    <row r="352" spans="3:12" hidden="1" x14ac:dyDescent="0.35">
      <c r="C352" s="80"/>
      <c r="K352" s="81">
        <f>SUM(Table1[[#This Row],[Technical Knowledge]:[Repeat job nahin aana]])/6</f>
        <v>0</v>
      </c>
      <c r="L352" s="79" t="str">
        <f>IFERROR(AVERAGEIFS(Table1[Final Score],Table1[Month],Table1[[#This Row],[Month]],Table1[Year],Table1[[#This Row],[Year]],Table1[Mechanic Name],Table1[[#This Row],[Mechanic Name]]),"")</f>
        <v/>
      </c>
    </row>
    <row r="353" spans="3:12" hidden="1" x14ac:dyDescent="0.35">
      <c r="C353" s="80"/>
      <c r="K353" s="81">
        <f>SUM(Table1[[#This Row],[Technical Knowledge]:[Repeat job nahin aana]])/6</f>
        <v>0</v>
      </c>
      <c r="L353" s="79" t="str">
        <f>IFERROR(AVERAGEIFS(Table1[Final Score],Table1[Month],Table1[[#This Row],[Month]],Table1[Year],Table1[[#This Row],[Year]],Table1[Mechanic Name],Table1[[#This Row],[Mechanic Name]]),"")</f>
        <v/>
      </c>
    </row>
    <row r="354" spans="3:12" hidden="1" x14ac:dyDescent="0.35">
      <c r="C354" s="80"/>
      <c r="K354" s="81">
        <f>SUM(Table1[[#This Row],[Technical Knowledge]:[Repeat job nahin aana]])/6</f>
        <v>0</v>
      </c>
      <c r="L354" s="79" t="str">
        <f>IFERROR(AVERAGEIFS(Table1[Final Score],Table1[Month],Table1[[#This Row],[Month]],Table1[Year],Table1[[#This Row],[Year]],Table1[Mechanic Name],Table1[[#This Row],[Mechanic Name]]),"")</f>
        <v/>
      </c>
    </row>
    <row r="355" spans="3:12" hidden="1" x14ac:dyDescent="0.35">
      <c r="C355" s="80"/>
      <c r="K355" s="81">
        <f>SUM(Table1[[#This Row],[Technical Knowledge]:[Repeat job nahin aana]])/6</f>
        <v>0</v>
      </c>
      <c r="L355" s="79" t="str">
        <f>IFERROR(AVERAGEIFS(Table1[Final Score],Table1[Month],Table1[[#This Row],[Month]],Table1[Year],Table1[[#This Row],[Year]],Table1[Mechanic Name],Table1[[#This Row],[Mechanic Name]]),"")</f>
        <v/>
      </c>
    </row>
    <row r="356" spans="3:12" hidden="1" x14ac:dyDescent="0.35">
      <c r="C356" s="80"/>
      <c r="K356" s="81">
        <f>SUM(Table1[[#This Row],[Technical Knowledge]:[Repeat job nahin aana]])/6</f>
        <v>0</v>
      </c>
      <c r="L356" s="79" t="str">
        <f>IFERROR(AVERAGEIFS(Table1[Final Score],Table1[Month],Table1[[#This Row],[Month]],Table1[Year],Table1[[#This Row],[Year]],Table1[Mechanic Name],Table1[[#This Row],[Mechanic Name]]),"")</f>
        <v/>
      </c>
    </row>
    <row r="357" spans="3:12" hidden="1" x14ac:dyDescent="0.35">
      <c r="C357" s="80"/>
      <c r="K357" s="81">
        <f>SUM(Table1[[#This Row],[Technical Knowledge]:[Repeat job nahin aana]])/6</f>
        <v>0</v>
      </c>
      <c r="L357" s="79" t="str">
        <f>IFERROR(AVERAGEIFS(Table1[Final Score],Table1[Month],Table1[[#This Row],[Month]],Table1[Year],Table1[[#This Row],[Year]],Table1[Mechanic Name],Table1[[#This Row],[Mechanic Name]]),"")</f>
        <v/>
      </c>
    </row>
    <row r="358" spans="3:12" hidden="1" x14ac:dyDescent="0.35">
      <c r="C358" s="80"/>
      <c r="K358" s="81">
        <f>SUM(Table1[[#This Row],[Technical Knowledge]:[Repeat job nahin aana]])/6</f>
        <v>0</v>
      </c>
      <c r="L358" s="79" t="str">
        <f>IFERROR(AVERAGEIFS(Table1[Final Score],Table1[Month],Table1[[#This Row],[Month]],Table1[Year],Table1[[#This Row],[Year]],Table1[Mechanic Name],Table1[[#This Row],[Mechanic Name]]),"")</f>
        <v/>
      </c>
    </row>
    <row r="359" spans="3:12" hidden="1" x14ac:dyDescent="0.35">
      <c r="C359" s="80"/>
      <c r="K359" s="81">
        <f>SUM(Table1[[#This Row],[Technical Knowledge]:[Repeat job nahin aana]])/6</f>
        <v>0</v>
      </c>
      <c r="L359" s="79" t="str">
        <f>IFERROR(AVERAGEIFS(Table1[Final Score],Table1[Month],Table1[[#This Row],[Month]],Table1[Year],Table1[[#This Row],[Year]],Table1[Mechanic Name],Table1[[#This Row],[Mechanic Name]]),"")</f>
        <v/>
      </c>
    </row>
    <row r="360" spans="3:12" hidden="1" x14ac:dyDescent="0.35">
      <c r="C360" s="80"/>
      <c r="K360" s="81">
        <f>SUM(Table1[[#This Row],[Technical Knowledge]:[Repeat job nahin aana]])/6</f>
        <v>0</v>
      </c>
      <c r="L360" s="79" t="str">
        <f>IFERROR(AVERAGEIFS(Table1[Final Score],Table1[Month],Table1[[#This Row],[Month]],Table1[Year],Table1[[#This Row],[Year]],Table1[Mechanic Name],Table1[[#This Row],[Mechanic Name]]),"")</f>
        <v/>
      </c>
    </row>
    <row r="361" spans="3:12" hidden="1" x14ac:dyDescent="0.35">
      <c r="C361" s="80"/>
      <c r="K361" s="81">
        <f>SUM(Table1[[#This Row],[Technical Knowledge]:[Repeat job nahin aana]])/6</f>
        <v>0</v>
      </c>
      <c r="L361" s="79" t="str">
        <f>IFERROR(AVERAGEIFS(Table1[Final Score],Table1[Month],Table1[[#This Row],[Month]],Table1[Year],Table1[[#This Row],[Year]],Table1[Mechanic Name],Table1[[#This Row],[Mechanic Name]]),"")</f>
        <v/>
      </c>
    </row>
    <row r="362" spans="3:12" hidden="1" x14ac:dyDescent="0.35">
      <c r="C362" s="80"/>
      <c r="K362" s="81">
        <f>SUM(Table1[[#This Row],[Technical Knowledge]:[Repeat job nahin aana]])/6</f>
        <v>0</v>
      </c>
      <c r="L362" s="79" t="str">
        <f>IFERROR(AVERAGEIFS(Table1[Final Score],Table1[Month],Table1[[#This Row],[Month]],Table1[Year],Table1[[#This Row],[Year]],Table1[Mechanic Name],Table1[[#This Row],[Mechanic Name]]),"")</f>
        <v/>
      </c>
    </row>
    <row r="363" spans="3:12" hidden="1" x14ac:dyDescent="0.35">
      <c r="C363" s="80"/>
      <c r="K363" s="81">
        <f>SUM(Table1[[#This Row],[Technical Knowledge]:[Repeat job nahin aana]])/6</f>
        <v>0</v>
      </c>
      <c r="L363" s="79" t="str">
        <f>IFERROR(AVERAGEIFS(Table1[Final Score],Table1[Month],Table1[[#This Row],[Month]],Table1[Year],Table1[[#This Row],[Year]],Table1[Mechanic Name],Table1[[#This Row],[Mechanic Name]]),"")</f>
        <v/>
      </c>
    </row>
    <row r="364" spans="3:12" hidden="1" x14ac:dyDescent="0.35">
      <c r="C364" s="80"/>
      <c r="K364" s="81">
        <f>SUM(Table1[[#This Row],[Technical Knowledge]:[Repeat job nahin aana]])/6</f>
        <v>0</v>
      </c>
      <c r="L364" s="79" t="str">
        <f>IFERROR(AVERAGEIFS(Table1[Final Score],Table1[Month],Table1[[#This Row],[Month]],Table1[Year],Table1[[#This Row],[Year]],Table1[Mechanic Name],Table1[[#This Row],[Mechanic Name]]),"")</f>
        <v/>
      </c>
    </row>
    <row r="365" spans="3:12" hidden="1" x14ac:dyDescent="0.35">
      <c r="C365" s="80"/>
      <c r="K365" s="81">
        <f>SUM(Table1[[#This Row],[Technical Knowledge]:[Repeat job nahin aana]])/6</f>
        <v>0</v>
      </c>
      <c r="L365" s="79" t="str">
        <f>IFERROR(AVERAGEIFS(Table1[Final Score],Table1[Month],Table1[[#This Row],[Month]],Table1[Year],Table1[[#This Row],[Year]],Table1[Mechanic Name],Table1[[#This Row],[Mechanic Name]]),"")</f>
        <v/>
      </c>
    </row>
    <row r="366" spans="3:12" hidden="1" x14ac:dyDescent="0.35">
      <c r="C366" s="80"/>
      <c r="K366" s="81">
        <f>SUM(Table1[[#This Row],[Technical Knowledge]:[Repeat job nahin aana]])/6</f>
        <v>0</v>
      </c>
      <c r="L366" s="79" t="str">
        <f>IFERROR(AVERAGEIFS(Table1[Final Score],Table1[Month],Table1[[#This Row],[Month]],Table1[Year],Table1[[#This Row],[Year]],Table1[Mechanic Name],Table1[[#This Row],[Mechanic Name]]),"")</f>
        <v/>
      </c>
    </row>
    <row r="367" spans="3:12" hidden="1" x14ac:dyDescent="0.35">
      <c r="C367" s="80"/>
      <c r="K367" s="81">
        <f>SUM(Table1[[#This Row],[Technical Knowledge]:[Repeat job nahin aana]])/6</f>
        <v>0</v>
      </c>
      <c r="L367" s="79" t="str">
        <f>IFERROR(AVERAGEIFS(Table1[Final Score],Table1[Month],Table1[[#This Row],[Month]],Table1[Year],Table1[[#This Row],[Year]],Table1[Mechanic Name],Table1[[#This Row],[Mechanic Name]]),"")</f>
        <v/>
      </c>
    </row>
    <row r="368" spans="3:12" hidden="1" x14ac:dyDescent="0.35">
      <c r="C368" s="80"/>
      <c r="K368" s="81">
        <f>SUM(Table1[[#This Row],[Technical Knowledge]:[Repeat job nahin aana]])/6</f>
        <v>0</v>
      </c>
      <c r="L368" s="79" t="str">
        <f>IFERROR(AVERAGEIFS(Table1[Final Score],Table1[Month],Table1[[#This Row],[Month]],Table1[Year],Table1[[#This Row],[Year]],Table1[Mechanic Name],Table1[[#This Row],[Mechanic Name]]),"")</f>
        <v/>
      </c>
    </row>
    <row r="369" spans="3:12" hidden="1" x14ac:dyDescent="0.35">
      <c r="C369" s="80"/>
      <c r="K369" s="81">
        <f>SUM(Table1[[#This Row],[Technical Knowledge]:[Repeat job nahin aana]])/6</f>
        <v>0</v>
      </c>
      <c r="L369" s="79" t="str">
        <f>IFERROR(AVERAGEIFS(Table1[Final Score],Table1[Month],Table1[[#This Row],[Month]],Table1[Year],Table1[[#This Row],[Year]],Table1[Mechanic Name],Table1[[#This Row],[Mechanic Name]]),"")</f>
        <v/>
      </c>
    </row>
    <row r="370" spans="3:12" hidden="1" x14ac:dyDescent="0.35">
      <c r="C370" s="80"/>
      <c r="K370" s="81">
        <f>SUM(Table1[[#This Row],[Technical Knowledge]:[Repeat job nahin aana]])/6</f>
        <v>0</v>
      </c>
      <c r="L370" s="79" t="str">
        <f>IFERROR(AVERAGEIFS(Table1[Final Score],Table1[Month],Table1[[#This Row],[Month]],Table1[Year],Table1[[#This Row],[Year]],Table1[Mechanic Name],Table1[[#This Row],[Mechanic Name]]),"")</f>
        <v/>
      </c>
    </row>
    <row r="371" spans="3:12" hidden="1" x14ac:dyDescent="0.35">
      <c r="C371" s="80"/>
      <c r="K371" s="81">
        <f>SUM(Table1[[#This Row],[Technical Knowledge]:[Repeat job nahin aana]])/6</f>
        <v>0</v>
      </c>
      <c r="L371" s="79" t="str">
        <f>IFERROR(AVERAGEIFS(Table1[Final Score],Table1[Month],Table1[[#This Row],[Month]],Table1[Year],Table1[[#This Row],[Year]],Table1[Mechanic Name],Table1[[#This Row],[Mechanic Name]]),"")</f>
        <v/>
      </c>
    </row>
    <row r="372" spans="3:12" hidden="1" x14ac:dyDescent="0.35">
      <c r="C372" s="80"/>
      <c r="K372" s="81">
        <f>SUM(Table1[[#This Row],[Technical Knowledge]:[Repeat job nahin aana]])/6</f>
        <v>0</v>
      </c>
      <c r="L372" s="79" t="str">
        <f>IFERROR(AVERAGEIFS(Table1[Final Score],Table1[Month],Table1[[#This Row],[Month]],Table1[Year],Table1[[#This Row],[Year]],Table1[Mechanic Name],Table1[[#This Row],[Mechanic Name]]),"")</f>
        <v/>
      </c>
    </row>
    <row r="373" spans="3:12" hidden="1" x14ac:dyDescent="0.35">
      <c r="C373" s="80"/>
      <c r="K373" s="81">
        <f>SUM(Table1[[#This Row],[Technical Knowledge]:[Repeat job nahin aana]])/6</f>
        <v>0</v>
      </c>
      <c r="L373" s="79" t="str">
        <f>IFERROR(AVERAGEIFS(Table1[Final Score],Table1[Month],Table1[[#This Row],[Month]],Table1[Year],Table1[[#This Row],[Year]],Table1[Mechanic Name],Table1[[#This Row],[Mechanic Name]]),"")</f>
        <v/>
      </c>
    </row>
    <row r="374" spans="3:12" hidden="1" x14ac:dyDescent="0.35">
      <c r="C374" s="80"/>
      <c r="K374" s="81">
        <f>SUM(Table1[[#This Row],[Technical Knowledge]:[Repeat job nahin aana]])/6</f>
        <v>0</v>
      </c>
      <c r="L374" s="79" t="str">
        <f>IFERROR(AVERAGEIFS(Table1[Final Score],Table1[Month],Table1[[#This Row],[Month]],Table1[Year],Table1[[#This Row],[Year]],Table1[Mechanic Name],Table1[[#This Row],[Mechanic Name]]),"")</f>
        <v/>
      </c>
    </row>
    <row r="375" spans="3:12" hidden="1" x14ac:dyDescent="0.35">
      <c r="C375" s="80"/>
      <c r="K375" s="81">
        <f>SUM(Table1[[#This Row],[Technical Knowledge]:[Repeat job nahin aana]])/6</f>
        <v>0</v>
      </c>
      <c r="L375" s="79" t="str">
        <f>IFERROR(AVERAGEIFS(Table1[Final Score],Table1[Month],Table1[[#This Row],[Month]],Table1[Year],Table1[[#This Row],[Year]],Table1[Mechanic Name],Table1[[#This Row],[Mechanic Name]]),"")</f>
        <v/>
      </c>
    </row>
    <row r="376" spans="3:12" hidden="1" x14ac:dyDescent="0.35">
      <c r="C376" s="80"/>
      <c r="K376" s="81">
        <f>SUM(Table1[[#This Row],[Technical Knowledge]:[Repeat job nahin aana]])/6</f>
        <v>0</v>
      </c>
      <c r="L376" s="79" t="str">
        <f>IFERROR(AVERAGEIFS(Table1[Final Score],Table1[Month],Table1[[#This Row],[Month]],Table1[Year],Table1[[#This Row],[Year]],Table1[Mechanic Name],Table1[[#This Row],[Mechanic Name]]),"")</f>
        <v/>
      </c>
    </row>
    <row r="377" spans="3:12" hidden="1" x14ac:dyDescent="0.35">
      <c r="C377" s="80"/>
      <c r="K377" s="81">
        <f>SUM(Table1[[#This Row],[Technical Knowledge]:[Repeat job nahin aana]])/6</f>
        <v>0</v>
      </c>
      <c r="L377" s="79" t="str">
        <f>IFERROR(AVERAGEIFS(Table1[Final Score],Table1[Month],Table1[[#This Row],[Month]],Table1[Year],Table1[[#This Row],[Year]],Table1[Mechanic Name],Table1[[#This Row],[Mechanic Name]]),"")</f>
        <v/>
      </c>
    </row>
    <row r="378" spans="3:12" hidden="1" x14ac:dyDescent="0.35">
      <c r="C378" s="80"/>
      <c r="K378" s="81">
        <f>SUM(Table1[[#This Row],[Technical Knowledge]:[Repeat job nahin aana]])/6</f>
        <v>0</v>
      </c>
      <c r="L378" s="79" t="str">
        <f>IFERROR(AVERAGEIFS(Table1[Final Score],Table1[Month],Table1[[#This Row],[Month]],Table1[Year],Table1[[#This Row],[Year]],Table1[Mechanic Name],Table1[[#This Row],[Mechanic Name]]),"")</f>
        <v/>
      </c>
    </row>
    <row r="379" spans="3:12" hidden="1" x14ac:dyDescent="0.35">
      <c r="C379" s="80"/>
      <c r="K379" s="81">
        <f>SUM(Table1[[#This Row],[Technical Knowledge]:[Repeat job nahin aana]])/6</f>
        <v>0</v>
      </c>
      <c r="L379" s="79" t="str">
        <f>IFERROR(AVERAGEIFS(Table1[Final Score],Table1[Month],Table1[[#This Row],[Month]],Table1[Year],Table1[[#This Row],[Year]],Table1[Mechanic Name],Table1[[#This Row],[Mechanic Name]]),"")</f>
        <v/>
      </c>
    </row>
    <row r="380" spans="3:12" hidden="1" x14ac:dyDescent="0.35">
      <c r="C380" s="80"/>
      <c r="K380" s="81">
        <f>SUM(Table1[[#This Row],[Technical Knowledge]:[Repeat job nahin aana]])/6</f>
        <v>0</v>
      </c>
      <c r="L380" s="79" t="str">
        <f>IFERROR(AVERAGEIFS(Table1[Final Score],Table1[Month],Table1[[#This Row],[Month]],Table1[Year],Table1[[#This Row],[Year]],Table1[Mechanic Name],Table1[[#This Row],[Mechanic Name]]),"")</f>
        <v/>
      </c>
    </row>
    <row r="381" spans="3:12" hidden="1" x14ac:dyDescent="0.35">
      <c r="C381" s="80"/>
      <c r="K381" s="81">
        <f>SUM(Table1[[#This Row],[Technical Knowledge]:[Repeat job nahin aana]])/6</f>
        <v>0</v>
      </c>
      <c r="L381" s="79" t="str">
        <f>IFERROR(AVERAGEIFS(Table1[Final Score],Table1[Month],Table1[[#This Row],[Month]],Table1[Year],Table1[[#This Row],[Year]],Table1[Mechanic Name],Table1[[#This Row],[Mechanic Name]]),"")</f>
        <v/>
      </c>
    </row>
    <row r="382" spans="3:12" hidden="1" x14ac:dyDescent="0.35">
      <c r="C382" s="80"/>
      <c r="K382" s="81">
        <f>SUM(Table1[[#This Row],[Technical Knowledge]:[Repeat job nahin aana]])/6</f>
        <v>0</v>
      </c>
      <c r="L382" s="79" t="str">
        <f>IFERROR(AVERAGEIFS(Table1[Final Score],Table1[Month],Table1[[#This Row],[Month]],Table1[Year],Table1[[#This Row],[Year]],Table1[Mechanic Name],Table1[[#This Row],[Mechanic Name]]),"")</f>
        <v/>
      </c>
    </row>
    <row r="383" spans="3:12" hidden="1" x14ac:dyDescent="0.35">
      <c r="C383" s="80"/>
      <c r="K383" s="81">
        <f>SUM(Table1[[#This Row],[Technical Knowledge]:[Repeat job nahin aana]])/6</f>
        <v>0</v>
      </c>
      <c r="L383" s="79" t="str">
        <f>IFERROR(AVERAGEIFS(Table1[Final Score],Table1[Month],Table1[[#This Row],[Month]],Table1[Year],Table1[[#This Row],[Year]],Table1[Mechanic Name],Table1[[#This Row],[Mechanic Name]]),"")</f>
        <v/>
      </c>
    </row>
    <row r="384" spans="3:12" hidden="1" x14ac:dyDescent="0.35">
      <c r="C384" s="80"/>
      <c r="K384" s="81">
        <f>SUM(Table1[[#This Row],[Technical Knowledge]:[Repeat job nahin aana]])/6</f>
        <v>0</v>
      </c>
      <c r="L384" s="79" t="str">
        <f>IFERROR(AVERAGEIFS(Table1[Final Score],Table1[Month],Table1[[#This Row],[Month]],Table1[Year],Table1[[#This Row],[Year]],Table1[Mechanic Name],Table1[[#This Row],[Mechanic Name]]),"")</f>
        <v/>
      </c>
    </row>
    <row r="385" spans="3:12" hidden="1" x14ac:dyDescent="0.35">
      <c r="C385" s="80"/>
      <c r="K385" s="81">
        <f>SUM(Table1[[#This Row],[Technical Knowledge]:[Repeat job nahin aana]])/6</f>
        <v>0</v>
      </c>
      <c r="L385" s="79" t="str">
        <f>IFERROR(AVERAGEIFS(Table1[Final Score],Table1[Month],Table1[[#This Row],[Month]],Table1[Year],Table1[[#This Row],[Year]],Table1[Mechanic Name],Table1[[#This Row],[Mechanic Name]]),"")</f>
        <v/>
      </c>
    </row>
    <row r="386" spans="3:12" hidden="1" x14ac:dyDescent="0.35">
      <c r="C386" s="80"/>
      <c r="K386" s="81">
        <f>SUM(Table1[[#This Row],[Technical Knowledge]:[Repeat job nahin aana]])/6</f>
        <v>0</v>
      </c>
      <c r="L386" s="79" t="str">
        <f>IFERROR(AVERAGEIFS(Table1[Final Score],Table1[Month],Table1[[#This Row],[Month]],Table1[Year],Table1[[#This Row],[Year]],Table1[Mechanic Name],Table1[[#This Row],[Mechanic Name]]),"")</f>
        <v/>
      </c>
    </row>
    <row r="387" spans="3:12" hidden="1" x14ac:dyDescent="0.35">
      <c r="C387" s="80"/>
      <c r="K387" s="81">
        <f>SUM(Table1[[#This Row],[Technical Knowledge]:[Repeat job nahin aana]])/6</f>
        <v>0</v>
      </c>
      <c r="L387" s="79" t="str">
        <f>IFERROR(AVERAGEIFS(Table1[Final Score],Table1[Month],Table1[[#This Row],[Month]],Table1[Year],Table1[[#This Row],[Year]],Table1[Mechanic Name],Table1[[#This Row],[Mechanic Name]]),"")</f>
        <v/>
      </c>
    </row>
    <row r="388" spans="3:12" hidden="1" x14ac:dyDescent="0.35">
      <c r="C388" s="80"/>
      <c r="K388" s="81">
        <f>SUM(Table1[[#This Row],[Technical Knowledge]:[Repeat job nahin aana]])/6</f>
        <v>0</v>
      </c>
      <c r="L388" s="79" t="str">
        <f>IFERROR(AVERAGEIFS(Table1[Final Score],Table1[Month],Table1[[#This Row],[Month]],Table1[Year],Table1[[#This Row],[Year]],Table1[Mechanic Name],Table1[[#This Row],[Mechanic Name]]),"")</f>
        <v/>
      </c>
    </row>
    <row r="389" spans="3:12" hidden="1" x14ac:dyDescent="0.35">
      <c r="C389" s="80"/>
      <c r="K389" s="81">
        <f>SUM(Table1[[#This Row],[Technical Knowledge]:[Repeat job nahin aana]])/6</f>
        <v>0</v>
      </c>
      <c r="L389" s="79" t="str">
        <f>IFERROR(AVERAGEIFS(Table1[Final Score],Table1[Month],Table1[[#This Row],[Month]],Table1[Year],Table1[[#This Row],[Year]],Table1[Mechanic Name],Table1[[#This Row],[Mechanic Name]]),"")</f>
        <v/>
      </c>
    </row>
    <row r="390" spans="3:12" hidden="1" x14ac:dyDescent="0.35">
      <c r="C390" s="80"/>
      <c r="K390" s="81">
        <f>SUM(Table1[[#This Row],[Technical Knowledge]:[Repeat job nahin aana]])/6</f>
        <v>0</v>
      </c>
      <c r="L390" s="79" t="str">
        <f>IFERROR(AVERAGEIFS(Table1[Final Score],Table1[Month],Table1[[#This Row],[Month]],Table1[Year],Table1[[#This Row],[Year]],Table1[Mechanic Name],Table1[[#This Row],[Mechanic Name]]),"")</f>
        <v/>
      </c>
    </row>
    <row r="391" spans="3:12" hidden="1" x14ac:dyDescent="0.35">
      <c r="C391" s="80"/>
      <c r="K391" s="81">
        <f>SUM(Table1[[#This Row],[Technical Knowledge]:[Repeat job nahin aana]])/6</f>
        <v>0</v>
      </c>
      <c r="L391" s="79" t="str">
        <f>IFERROR(AVERAGEIFS(Table1[Final Score],Table1[Month],Table1[[#This Row],[Month]],Table1[Year],Table1[[#This Row],[Year]],Table1[Mechanic Name],Table1[[#This Row],[Mechanic Name]]),"")</f>
        <v/>
      </c>
    </row>
    <row r="392" spans="3:12" hidden="1" x14ac:dyDescent="0.35">
      <c r="C392" s="80"/>
      <c r="K392" s="81">
        <f>SUM(Table1[[#This Row],[Technical Knowledge]:[Repeat job nahin aana]])/6</f>
        <v>0</v>
      </c>
      <c r="L392" s="79" t="str">
        <f>IFERROR(AVERAGEIFS(Table1[Final Score],Table1[Month],Table1[[#This Row],[Month]],Table1[Year],Table1[[#This Row],[Year]],Table1[Mechanic Name],Table1[[#This Row],[Mechanic Name]]),"")</f>
        <v/>
      </c>
    </row>
    <row r="393" spans="3:12" hidden="1" x14ac:dyDescent="0.35">
      <c r="C393" s="80"/>
      <c r="K393" s="81">
        <f>SUM(Table1[[#This Row],[Technical Knowledge]:[Repeat job nahin aana]])/6</f>
        <v>0</v>
      </c>
      <c r="L393" s="79" t="str">
        <f>IFERROR(AVERAGEIFS(Table1[Final Score],Table1[Month],Table1[[#This Row],[Month]],Table1[Year],Table1[[#This Row],[Year]],Table1[Mechanic Name],Table1[[#This Row],[Mechanic Name]]),"")</f>
        <v/>
      </c>
    </row>
    <row r="394" spans="3:12" hidden="1" x14ac:dyDescent="0.35">
      <c r="C394" s="80"/>
      <c r="K394" s="81">
        <f>SUM(Table1[[#This Row],[Technical Knowledge]:[Repeat job nahin aana]])/6</f>
        <v>0</v>
      </c>
      <c r="L394" s="79" t="str">
        <f>IFERROR(AVERAGEIFS(Table1[Final Score],Table1[Month],Table1[[#This Row],[Month]],Table1[Year],Table1[[#This Row],[Year]],Table1[Mechanic Name],Table1[[#This Row],[Mechanic Name]]),"")</f>
        <v/>
      </c>
    </row>
    <row r="395" spans="3:12" hidden="1" x14ac:dyDescent="0.35">
      <c r="C395" s="80"/>
      <c r="K395" s="81">
        <f>SUM(Table1[[#This Row],[Technical Knowledge]:[Repeat job nahin aana]])/6</f>
        <v>0</v>
      </c>
      <c r="L395" s="79" t="str">
        <f>IFERROR(AVERAGEIFS(Table1[Final Score],Table1[Month],Table1[[#This Row],[Month]],Table1[Year],Table1[[#This Row],[Year]],Table1[Mechanic Name],Table1[[#This Row],[Mechanic Name]]),"")</f>
        <v/>
      </c>
    </row>
    <row r="396" spans="3:12" hidden="1" x14ac:dyDescent="0.35">
      <c r="C396" s="80"/>
      <c r="K396" s="81">
        <f>SUM(Table1[[#This Row],[Technical Knowledge]:[Repeat job nahin aana]])/6</f>
        <v>0</v>
      </c>
      <c r="L396" s="79" t="str">
        <f>IFERROR(AVERAGEIFS(Table1[Final Score],Table1[Month],Table1[[#This Row],[Month]],Table1[Year],Table1[[#This Row],[Year]],Table1[Mechanic Name],Table1[[#This Row],[Mechanic Name]]),"")</f>
        <v/>
      </c>
    </row>
    <row r="397" spans="3:12" hidden="1" x14ac:dyDescent="0.35">
      <c r="C397" s="80"/>
      <c r="K397" s="81">
        <f>SUM(Table1[[#This Row],[Technical Knowledge]:[Repeat job nahin aana]])/6</f>
        <v>0</v>
      </c>
      <c r="L397" s="79" t="str">
        <f>IFERROR(AVERAGEIFS(Table1[Final Score],Table1[Month],Table1[[#This Row],[Month]],Table1[Year],Table1[[#This Row],[Year]],Table1[Mechanic Name],Table1[[#This Row],[Mechanic Name]]),"")</f>
        <v/>
      </c>
    </row>
    <row r="398" spans="3:12" hidden="1" x14ac:dyDescent="0.35">
      <c r="C398" s="80"/>
      <c r="K398" s="81">
        <f>SUM(Table1[[#This Row],[Technical Knowledge]:[Repeat job nahin aana]])/6</f>
        <v>0</v>
      </c>
      <c r="L398" s="79" t="str">
        <f>IFERROR(AVERAGEIFS(Table1[Final Score],Table1[Month],Table1[[#This Row],[Month]],Table1[Year],Table1[[#This Row],[Year]],Table1[Mechanic Name],Table1[[#This Row],[Mechanic Name]]),"")</f>
        <v/>
      </c>
    </row>
    <row r="399" spans="3:12" hidden="1" x14ac:dyDescent="0.35">
      <c r="C399" s="80"/>
      <c r="K399" s="81">
        <f>SUM(Table1[[#This Row],[Technical Knowledge]:[Repeat job nahin aana]])/6</f>
        <v>0</v>
      </c>
      <c r="L399" s="79" t="str">
        <f>IFERROR(AVERAGEIFS(Table1[Final Score],Table1[Month],Table1[[#This Row],[Month]],Table1[Year],Table1[[#This Row],[Year]],Table1[Mechanic Name],Table1[[#This Row],[Mechanic Name]]),"")</f>
        <v/>
      </c>
    </row>
    <row r="400" spans="3:12" hidden="1" x14ac:dyDescent="0.35">
      <c r="C400" s="80"/>
      <c r="K400" s="81">
        <f>SUM(Table1[[#This Row],[Technical Knowledge]:[Repeat job nahin aana]])/6</f>
        <v>0</v>
      </c>
      <c r="L400" s="79" t="str">
        <f>IFERROR(AVERAGEIFS(Table1[Final Score],Table1[Month],Table1[[#This Row],[Month]],Table1[Year],Table1[[#This Row],[Year]],Table1[Mechanic Name],Table1[[#This Row],[Mechanic Name]]),"")</f>
        <v/>
      </c>
    </row>
    <row r="401" spans="3:12" hidden="1" x14ac:dyDescent="0.35">
      <c r="C401" s="80"/>
      <c r="K401" s="81">
        <f>SUM(Table1[[#This Row],[Technical Knowledge]:[Repeat job nahin aana]])/6</f>
        <v>0</v>
      </c>
      <c r="L401" s="79" t="str">
        <f>IFERROR(AVERAGEIFS(Table1[Final Score],Table1[Month],Table1[[#This Row],[Month]],Table1[Year],Table1[[#This Row],[Year]],Table1[Mechanic Name],Table1[[#This Row],[Mechanic Name]]),"")</f>
        <v/>
      </c>
    </row>
    <row r="402" spans="3:12" hidden="1" x14ac:dyDescent="0.35">
      <c r="C402" s="80"/>
      <c r="K402" s="81">
        <f>SUM(Table1[[#This Row],[Technical Knowledge]:[Repeat job nahin aana]])/6</f>
        <v>0</v>
      </c>
      <c r="L402" s="79" t="str">
        <f>IFERROR(AVERAGEIFS(Table1[Final Score],Table1[Month],Table1[[#This Row],[Month]],Table1[Year],Table1[[#This Row],[Year]],Table1[Mechanic Name],Table1[[#This Row],[Mechanic Name]]),"")</f>
        <v/>
      </c>
    </row>
    <row r="403" spans="3:12" hidden="1" x14ac:dyDescent="0.35">
      <c r="C403" s="80"/>
      <c r="K403" s="81">
        <f>SUM(Table1[[#This Row],[Technical Knowledge]:[Repeat job nahin aana]])/6</f>
        <v>0</v>
      </c>
      <c r="L403" s="79" t="str">
        <f>IFERROR(AVERAGEIFS(Table1[Final Score],Table1[Month],Table1[[#This Row],[Month]],Table1[Year],Table1[[#This Row],[Year]],Table1[Mechanic Name],Table1[[#This Row],[Mechanic Name]]),"")</f>
        <v/>
      </c>
    </row>
    <row r="404" spans="3:12" hidden="1" x14ac:dyDescent="0.35">
      <c r="C404" s="80"/>
      <c r="K404" s="81">
        <f>SUM(Table1[[#This Row],[Technical Knowledge]:[Repeat job nahin aana]])/6</f>
        <v>0</v>
      </c>
      <c r="L404" s="79" t="str">
        <f>IFERROR(AVERAGEIFS(Table1[Final Score],Table1[Month],Table1[[#This Row],[Month]],Table1[Year],Table1[[#This Row],[Year]],Table1[Mechanic Name],Table1[[#This Row],[Mechanic Name]]),"")</f>
        <v/>
      </c>
    </row>
    <row r="405" spans="3:12" hidden="1" x14ac:dyDescent="0.35">
      <c r="C405" s="80"/>
      <c r="K405" s="81">
        <f>SUM(Table1[[#This Row],[Technical Knowledge]:[Repeat job nahin aana]])/6</f>
        <v>0</v>
      </c>
      <c r="L405" s="79" t="str">
        <f>IFERROR(AVERAGEIFS(Table1[Final Score],Table1[Month],Table1[[#This Row],[Month]],Table1[Year],Table1[[#This Row],[Year]],Table1[Mechanic Name],Table1[[#This Row],[Mechanic Name]]),"")</f>
        <v/>
      </c>
    </row>
    <row r="406" spans="3:12" hidden="1" x14ac:dyDescent="0.35">
      <c r="C406" s="80"/>
      <c r="K406" s="81">
        <f>SUM(Table1[[#This Row],[Technical Knowledge]:[Repeat job nahin aana]])/6</f>
        <v>0</v>
      </c>
      <c r="L406" s="79" t="str">
        <f>IFERROR(AVERAGEIFS(Table1[Final Score],Table1[Month],Table1[[#This Row],[Month]],Table1[Year],Table1[[#This Row],[Year]],Table1[Mechanic Name],Table1[[#This Row],[Mechanic Name]]),"")</f>
        <v/>
      </c>
    </row>
    <row r="407" spans="3:12" hidden="1" x14ac:dyDescent="0.35">
      <c r="C407" s="80"/>
      <c r="K407" s="81">
        <f>SUM(Table1[[#This Row],[Technical Knowledge]:[Repeat job nahin aana]])/6</f>
        <v>0</v>
      </c>
      <c r="L407" s="79" t="str">
        <f>IFERROR(AVERAGEIFS(Table1[Final Score],Table1[Month],Table1[[#This Row],[Month]],Table1[Year],Table1[[#This Row],[Year]],Table1[Mechanic Name],Table1[[#This Row],[Mechanic Name]]),"")</f>
        <v/>
      </c>
    </row>
    <row r="408" spans="3:12" hidden="1" x14ac:dyDescent="0.35">
      <c r="C408" s="80"/>
      <c r="K408" s="81">
        <f>SUM(Table1[[#This Row],[Technical Knowledge]:[Repeat job nahin aana]])/6</f>
        <v>0</v>
      </c>
      <c r="L408" s="79" t="str">
        <f>IFERROR(AVERAGEIFS(Table1[Final Score],Table1[Month],Table1[[#This Row],[Month]],Table1[Year],Table1[[#This Row],[Year]],Table1[Mechanic Name],Table1[[#This Row],[Mechanic Name]]),"")</f>
        <v/>
      </c>
    </row>
    <row r="409" spans="3:12" hidden="1" x14ac:dyDescent="0.35">
      <c r="C409" s="80"/>
      <c r="K409" s="81">
        <f>SUM(Table1[[#This Row],[Technical Knowledge]:[Repeat job nahin aana]])/6</f>
        <v>0</v>
      </c>
      <c r="L409" s="79" t="str">
        <f>IFERROR(AVERAGEIFS(Table1[Final Score],Table1[Month],Table1[[#This Row],[Month]],Table1[Year],Table1[[#This Row],[Year]],Table1[Mechanic Name],Table1[[#This Row],[Mechanic Name]]),"")</f>
        <v/>
      </c>
    </row>
    <row r="410" spans="3:12" hidden="1" x14ac:dyDescent="0.35">
      <c r="C410" s="80"/>
      <c r="K410" s="81">
        <f>SUM(Table1[[#This Row],[Technical Knowledge]:[Repeat job nahin aana]])/6</f>
        <v>0</v>
      </c>
      <c r="L410" s="79" t="str">
        <f>IFERROR(AVERAGEIFS(Table1[Final Score],Table1[Month],Table1[[#This Row],[Month]],Table1[Year],Table1[[#This Row],[Year]],Table1[Mechanic Name],Table1[[#This Row],[Mechanic Name]]),"")</f>
        <v/>
      </c>
    </row>
    <row r="411" spans="3:12" hidden="1" x14ac:dyDescent="0.35">
      <c r="C411" s="80"/>
      <c r="K411" s="81">
        <f>SUM(Table1[[#This Row],[Technical Knowledge]:[Repeat job nahin aana]])/6</f>
        <v>0</v>
      </c>
      <c r="L411" s="79" t="str">
        <f>IFERROR(AVERAGEIFS(Table1[Final Score],Table1[Month],Table1[[#This Row],[Month]],Table1[Year],Table1[[#This Row],[Year]],Table1[Mechanic Name],Table1[[#This Row],[Mechanic Name]]),"")</f>
        <v/>
      </c>
    </row>
    <row r="412" spans="3:12" hidden="1" x14ac:dyDescent="0.35">
      <c r="C412" s="80"/>
      <c r="K412" s="81">
        <f>SUM(Table1[[#This Row],[Technical Knowledge]:[Repeat job nahin aana]])/6</f>
        <v>0</v>
      </c>
      <c r="L412" s="79" t="str">
        <f>IFERROR(AVERAGEIFS(Table1[Final Score],Table1[Month],Table1[[#This Row],[Month]],Table1[Year],Table1[[#This Row],[Year]],Table1[Mechanic Name],Table1[[#This Row],[Mechanic Name]]),"")</f>
        <v/>
      </c>
    </row>
    <row r="413" spans="3:12" hidden="1" x14ac:dyDescent="0.35">
      <c r="C413" s="80"/>
      <c r="K413" s="81">
        <f>SUM(Table1[[#This Row],[Technical Knowledge]:[Repeat job nahin aana]])/6</f>
        <v>0</v>
      </c>
      <c r="L413" s="79" t="str">
        <f>IFERROR(AVERAGEIFS(Table1[Final Score],Table1[Month],Table1[[#This Row],[Month]],Table1[Year],Table1[[#This Row],[Year]],Table1[Mechanic Name],Table1[[#This Row],[Mechanic Name]]),"")</f>
        <v/>
      </c>
    </row>
    <row r="414" spans="3:12" hidden="1" x14ac:dyDescent="0.35">
      <c r="C414" s="80"/>
      <c r="K414" s="81">
        <f>SUM(Table1[[#This Row],[Technical Knowledge]:[Repeat job nahin aana]])/6</f>
        <v>0</v>
      </c>
      <c r="L414" s="79" t="str">
        <f>IFERROR(AVERAGEIFS(Table1[Final Score],Table1[Month],Table1[[#This Row],[Month]],Table1[Year],Table1[[#This Row],[Year]],Table1[Mechanic Name],Table1[[#This Row],[Mechanic Name]]),"")</f>
        <v/>
      </c>
    </row>
    <row r="415" spans="3:12" hidden="1" x14ac:dyDescent="0.35">
      <c r="C415" s="80"/>
      <c r="K415" s="81">
        <f>SUM(Table1[[#This Row],[Technical Knowledge]:[Repeat job nahin aana]])/6</f>
        <v>0</v>
      </c>
      <c r="L415" s="79" t="str">
        <f>IFERROR(AVERAGEIFS(Table1[Final Score],Table1[Month],Table1[[#This Row],[Month]],Table1[Year],Table1[[#This Row],[Year]],Table1[Mechanic Name],Table1[[#This Row],[Mechanic Name]]),"")</f>
        <v/>
      </c>
    </row>
    <row r="416" spans="3:12" hidden="1" x14ac:dyDescent="0.35">
      <c r="C416" s="80"/>
      <c r="K416" s="81">
        <f>SUM(Table1[[#This Row],[Technical Knowledge]:[Repeat job nahin aana]])/6</f>
        <v>0</v>
      </c>
      <c r="L416" s="79" t="str">
        <f>IFERROR(AVERAGEIFS(Table1[Final Score],Table1[Month],Table1[[#This Row],[Month]],Table1[Year],Table1[[#This Row],[Year]],Table1[Mechanic Name],Table1[[#This Row],[Mechanic Name]]),"")</f>
        <v/>
      </c>
    </row>
    <row r="417" spans="3:12" hidden="1" x14ac:dyDescent="0.35">
      <c r="C417" s="80"/>
      <c r="K417" s="81">
        <f>SUM(Table1[[#This Row],[Technical Knowledge]:[Repeat job nahin aana]])/6</f>
        <v>0</v>
      </c>
      <c r="L417" s="79" t="str">
        <f>IFERROR(AVERAGEIFS(Table1[Final Score],Table1[Month],Table1[[#This Row],[Month]],Table1[Year],Table1[[#This Row],[Year]],Table1[Mechanic Name],Table1[[#This Row],[Mechanic Name]]),"")</f>
        <v/>
      </c>
    </row>
    <row r="418" spans="3:12" hidden="1" x14ac:dyDescent="0.35">
      <c r="C418" s="80"/>
      <c r="K418" s="81">
        <f>SUM(Table1[[#This Row],[Technical Knowledge]:[Repeat job nahin aana]])/6</f>
        <v>0</v>
      </c>
      <c r="L418" s="79" t="str">
        <f>IFERROR(AVERAGEIFS(Table1[Final Score],Table1[Month],Table1[[#This Row],[Month]],Table1[Year],Table1[[#This Row],[Year]],Table1[Mechanic Name],Table1[[#This Row],[Mechanic Name]]),"")</f>
        <v/>
      </c>
    </row>
    <row r="419" spans="3:12" hidden="1" x14ac:dyDescent="0.35">
      <c r="C419" s="80"/>
      <c r="K419" s="81">
        <f>SUM(Table1[[#This Row],[Technical Knowledge]:[Repeat job nahin aana]])/6</f>
        <v>0</v>
      </c>
      <c r="L419" s="79" t="str">
        <f>IFERROR(AVERAGEIFS(Table1[Final Score],Table1[Month],Table1[[#This Row],[Month]],Table1[Year],Table1[[#This Row],[Year]],Table1[Mechanic Name],Table1[[#This Row],[Mechanic Name]]),"")</f>
        <v/>
      </c>
    </row>
    <row r="420" spans="3:12" hidden="1" x14ac:dyDescent="0.35">
      <c r="C420" s="80"/>
      <c r="K420" s="81">
        <f>SUM(Table1[[#This Row],[Technical Knowledge]:[Repeat job nahin aana]])/6</f>
        <v>0</v>
      </c>
      <c r="L420" s="79" t="str">
        <f>IFERROR(AVERAGEIFS(Table1[Final Score],Table1[Month],Table1[[#This Row],[Month]],Table1[Year],Table1[[#This Row],[Year]],Table1[Mechanic Name],Table1[[#This Row],[Mechanic Name]]),"")</f>
        <v/>
      </c>
    </row>
    <row r="421" spans="3:12" hidden="1" x14ac:dyDescent="0.35">
      <c r="C421" s="80"/>
      <c r="K421" s="81">
        <f>SUM(Table1[[#This Row],[Technical Knowledge]:[Repeat job nahin aana]])/6</f>
        <v>0</v>
      </c>
      <c r="L421" s="79" t="str">
        <f>IFERROR(AVERAGEIFS(Table1[Final Score],Table1[Month],Table1[[#This Row],[Month]],Table1[Year],Table1[[#This Row],[Year]],Table1[Mechanic Name],Table1[[#This Row],[Mechanic Name]]),"")</f>
        <v/>
      </c>
    </row>
    <row r="422" spans="3:12" hidden="1" x14ac:dyDescent="0.35">
      <c r="C422" s="80"/>
      <c r="K422" s="81">
        <f>SUM(Table1[[#This Row],[Technical Knowledge]:[Repeat job nahin aana]])/6</f>
        <v>0</v>
      </c>
      <c r="L422" s="79" t="str">
        <f>IFERROR(AVERAGEIFS(Table1[Final Score],Table1[Month],Table1[[#This Row],[Month]],Table1[Year],Table1[[#This Row],[Year]],Table1[Mechanic Name],Table1[[#This Row],[Mechanic Name]]),"")</f>
        <v/>
      </c>
    </row>
    <row r="423" spans="3:12" hidden="1" x14ac:dyDescent="0.35">
      <c r="C423" s="80"/>
      <c r="K423" s="81">
        <f>SUM(Table1[[#This Row],[Technical Knowledge]:[Repeat job nahin aana]])/6</f>
        <v>0</v>
      </c>
      <c r="L423" s="79" t="str">
        <f>IFERROR(AVERAGEIFS(Table1[Final Score],Table1[Month],Table1[[#This Row],[Month]],Table1[Year],Table1[[#This Row],[Year]],Table1[Mechanic Name],Table1[[#This Row],[Mechanic Name]]),"")</f>
        <v/>
      </c>
    </row>
    <row r="424" spans="3:12" hidden="1" x14ac:dyDescent="0.35">
      <c r="C424" s="80"/>
      <c r="K424" s="81">
        <f>SUM(Table1[[#This Row],[Technical Knowledge]:[Repeat job nahin aana]])/6</f>
        <v>0</v>
      </c>
      <c r="L424" s="79" t="str">
        <f>IFERROR(AVERAGEIFS(Table1[Final Score],Table1[Month],Table1[[#This Row],[Month]],Table1[Year],Table1[[#This Row],[Year]],Table1[Mechanic Name],Table1[[#This Row],[Mechanic Name]]),"")</f>
        <v/>
      </c>
    </row>
    <row r="425" spans="3:12" hidden="1" x14ac:dyDescent="0.35">
      <c r="C425" s="80"/>
      <c r="K425" s="81">
        <f>SUM(Table1[[#This Row],[Technical Knowledge]:[Repeat job nahin aana]])/6</f>
        <v>0</v>
      </c>
      <c r="L425" s="79" t="str">
        <f>IFERROR(AVERAGEIFS(Table1[Final Score],Table1[Month],Table1[[#This Row],[Month]],Table1[Year],Table1[[#This Row],[Year]],Table1[Mechanic Name],Table1[[#This Row],[Mechanic Name]]),"")</f>
        <v/>
      </c>
    </row>
    <row r="426" spans="3:12" hidden="1" x14ac:dyDescent="0.35">
      <c r="C426" s="80"/>
      <c r="K426" s="81">
        <f>SUM(Table1[[#This Row],[Technical Knowledge]:[Repeat job nahin aana]])/6</f>
        <v>0</v>
      </c>
      <c r="L426" s="79" t="str">
        <f>IFERROR(AVERAGEIFS(Table1[Final Score],Table1[Month],Table1[[#This Row],[Month]],Table1[Year],Table1[[#This Row],[Year]],Table1[Mechanic Name],Table1[[#This Row],[Mechanic Name]]),"")</f>
        <v/>
      </c>
    </row>
    <row r="427" spans="3:12" hidden="1" x14ac:dyDescent="0.35">
      <c r="C427" s="80"/>
      <c r="K427" s="81">
        <f>SUM(Table1[[#This Row],[Technical Knowledge]:[Repeat job nahin aana]])/6</f>
        <v>0</v>
      </c>
      <c r="L427" s="79" t="str">
        <f>IFERROR(AVERAGEIFS(Table1[Final Score],Table1[Month],Table1[[#This Row],[Month]],Table1[Year],Table1[[#This Row],[Year]],Table1[Mechanic Name],Table1[[#This Row],[Mechanic Name]]),"")</f>
        <v/>
      </c>
    </row>
    <row r="428" spans="3:12" hidden="1" x14ac:dyDescent="0.35">
      <c r="C428" s="80"/>
      <c r="K428" s="81">
        <f>SUM(Table1[[#This Row],[Technical Knowledge]:[Repeat job nahin aana]])/6</f>
        <v>0</v>
      </c>
      <c r="L428" s="79" t="str">
        <f>IFERROR(AVERAGEIFS(Table1[Final Score],Table1[Month],Table1[[#This Row],[Month]],Table1[Year],Table1[[#This Row],[Year]],Table1[Mechanic Name],Table1[[#This Row],[Mechanic Name]]),"")</f>
        <v/>
      </c>
    </row>
    <row r="429" spans="3:12" hidden="1" x14ac:dyDescent="0.35">
      <c r="C429" s="80"/>
      <c r="K429" s="81">
        <f>SUM(Table1[[#This Row],[Technical Knowledge]:[Repeat job nahin aana]])/6</f>
        <v>0</v>
      </c>
      <c r="L429" s="79" t="str">
        <f>IFERROR(AVERAGEIFS(Table1[Final Score],Table1[Month],Table1[[#This Row],[Month]],Table1[Year],Table1[[#This Row],[Year]],Table1[Mechanic Name],Table1[[#This Row],[Mechanic Name]]),"")</f>
        <v/>
      </c>
    </row>
    <row r="430" spans="3:12" hidden="1" x14ac:dyDescent="0.35">
      <c r="C430" s="80"/>
      <c r="K430" s="81">
        <f>SUM(Table1[[#This Row],[Technical Knowledge]:[Repeat job nahin aana]])/6</f>
        <v>0</v>
      </c>
      <c r="L430" s="79" t="str">
        <f>IFERROR(AVERAGEIFS(Table1[Final Score],Table1[Month],Table1[[#This Row],[Month]],Table1[Year],Table1[[#This Row],[Year]],Table1[Mechanic Name],Table1[[#This Row],[Mechanic Name]]),"")</f>
        <v/>
      </c>
    </row>
    <row r="431" spans="3:12" hidden="1" x14ac:dyDescent="0.35">
      <c r="C431" s="80"/>
      <c r="K431" s="81">
        <f>SUM(Table1[[#This Row],[Technical Knowledge]:[Repeat job nahin aana]])/6</f>
        <v>0</v>
      </c>
      <c r="L431" s="79" t="str">
        <f>IFERROR(AVERAGEIFS(Table1[Final Score],Table1[Month],Table1[[#This Row],[Month]],Table1[Year],Table1[[#This Row],[Year]],Table1[Mechanic Name],Table1[[#This Row],[Mechanic Name]]),"")</f>
        <v/>
      </c>
    </row>
    <row r="432" spans="3:12" hidden="1" x14ac:dyDescent="0.35">
      <c r="C432" s="80"/>
      <c r="K432" s="81">
        <f>SUM(Table1[[#This Row],[Technical Knowledge]:[Repeat job nahin aana]])/6</f>
        <v>0</v>
      </c>
      <c r="L432" s="79" t="str">
        <f>IFERROR(AVERAGEIFS(Table1[Final Score],Table1[Month],Table1[[#This Row],[Month]],Table1[Year],Table1[[#This Row],[Year]],Table1[Mechanic Name],Table1[[#This Row],[Mechanic Name]]),"")</f>
        <v/>
      </c>
    </row>
    <row r="433" spans="3:12" hidden="1" x14ac:dyDescent="0.35">
      <c r="C433" s="80"/>
      <c r="K433" s="81">
        <f>SUM(Table1[[#This Row],[Technical Knowledge]:[Repeat job nahin aana]])/6</f>
        <v>0</v>
      </c>
      <c r="L433" s="79" t="str">
        <f>IFERROR(AVERAGEIFS(Table1[Final Score],Table1[Month],Table1[[#This Row],[Month]],Table1[Year],Table1[[#This Row],[Year]],Table1[Mechanic Name],Table1[[#This Row],[Mechanic Name]]),"")</f>
        <v/>
      </c>
    </row>
    <row r="434" spans="3:12" hidden="1" x14ac:dyDescent="0.35">
      <c r="C434" s="80"/>
      <c r="K434" s="81">
        <f>SUM(Table1[[#This Row],[Technical Knowledge]:[Repeat job nahin aana]])/6</f>
        <v>0</v>
      </c>
      <c r="L434" s="79" t="str">
        <f>IFERROR(AVERAGEIFS(Table1[Final Score],Table1[Month],Table1[[#This Row],[Month]],Table1[Year],Table1[[#This Row],[Year]],Table1[Mechanic Name],Table1[[#This Row],[Mechanic Name]]),"")</f>
        <v/>
      </c>
    </row>
    <row r="435" spans="3:12" hidden="1" x14ac:dyDescent="0.35">
      <c r="C435" s="80"/>
      <c r="K435" s="81">
        <f>SUM(Table1[[#This Row],[Technical Knowledge]:[Repeat job nahin aana]])/6</f>
        <v>0</v>
      </c>
      <c r="L435" s="79" t="str">
        <f>IFERROR(AVERAGEIFS(Table1[Final Score],Table1[Month],Table1[[#This Row],[Month]],Table1[Year],Table1[[#This Row],[Year]],Table1[Mechanic Name],Table1[[#This Row],[Mechanic Name]]),"")</f>
        <v/>
      </c>
    </row>
    <row r="436" spans="3:12" hidden="1" x14ac:dyDescent="0.35">
      <c r="C436" s="80"/>
      <c r="K436" s="81">
        <f>SUM(Table1[[#This Row],[Technical Knowledge]:[Repeat job nahin aana]])/6</f>
        <v>0</v>
      </c>
      <c r="L436" s="79" t="str">
        <f>IFERROR(AVERAGEIFS(Table1[Final Score],Table1[Month],Table1[[#This Row],[Month]],Table1[Year],Table1[[#This Row],[Year]],Table1[Mechanic Name],Table1[[#This Row],[Mechanic Name]]),"")</f>
        <v/>
      </c>
    </row>
    <row r="437" spans="3:12" hidden="1" x14ac:dyDescent="0.35">
      <c r="C437" s="80"/>
      <c r="K437" s="81">
        <f>SUM(Table1[[#This Row],[Technical Knowledge]:[Repeat job nahin aana]])/6</f>
        <v>0</v>
      </c>
      <c r="L437" s="79" t="str">
        <f>IFERROR(AVERAGEIFS(Table1[Final Score],Table1[Month],Table1[[#This Row],[Month]],Table1[Year],Table1[[#This Row],[Year]],Table1[Mechanic Name],Table1[[#This Row],[Mechanic Name]]),"")</f>
        <v/>
      </c>
    </row>
    <row r="438" spans="3:12" hidden="1" x14ac:dyDescent="0.35">
      <c r="C438" s="80"/>
      <c r="K438" s="81">
        <f>SUM(Table1[[#This Row],[Technical Knowledge]:[Repeat job nahin aana]])/6</f>
        <v>0</v>
      </c>
      <c r="L438" s="79" t="str">
        <f>IFERROR(AVERAGEIFS(Table1[Final Score],Table1[Month],Table1[[#This Row],[Month]],Table1[Year],Table1[[#This Row],[Year]],Table1[Mechanic Name],Table1[[#This Row],[Mechanic Name]]),"")</f>
        <v/>
      </c>
    </row>
    <row r="439" spans="3:12" hidden="1" x14ac:dyDescent="0.35">
      <c r="C439" s="80"/>
      <c r="K439" s="81">
        <f>SUM(Table1[[#This Row],[Technical Knowledge]:[Repeat job nahin aana]])/6</f>
        <v>0</v>
      </c>
      <c r="L439" s="79" t="str">
        <f>IFERROR(AVERAGEIFS(Table1[Final Score],Table1[Month],Table1[[#This Row],[Month]],Table1[Year],Table1[[#This Row],[Year]],Table1[Mechanic Name],Table1[[#This Row],[Mechanic Name]]),"")</f>
        <v/>
      </c>
    </row>
    <row r="440" spans="3:12" hidden="1" x14ac:dyDescent="0.35">
      <c r="C440" s="80"/>
      <c r="K440" s="81">
        <f>SUM(Table1[[#This Row],[Technical Knowledge]:[Repeat job nahin aana]])/6</f>
        <v>0</v>
      </c>
      <c r="L440" s="79" t="str">
        <f>IFERROR(AVERAGEIFS(Table1[Final Score],Table1[Month],Table1[[#This Row],[Month]],Table1[Year],Table1[[#This Row],[Year]],Table1[Mechanic Name],Table1[[#This Row],[Mechanic Name]]),"")</f>
        <v/>
      </c>
    </row>
    <row r="441" spans="3:12" hidden="1" x14ac:dyDescent="0.35">
      <c r="C441" s="80"/>
      <c r="K441" s="81">
        <f>SUM(Table1[[#This Row],[Technical Knowledge]:[Repeat job nahin aana]])/6</f>
        <v>0</v>
      </c>
      <c r="L441" s="79" t="str">
        <f>IFERROR(AVERAGEIFS(Table1[Final Score],Table1[Month],Table1[[#This Row],[Month]],Table1[Year],Table1[[#This Row],[Year]],Table1[Mechanic Name],Table1[[#This Row],[Mechanic Name]]),"")</f>
        <v/>
      </c>
    </row>
    <row r="442" spans="3:12" hidden="1" x14ac:dyDescent="0.35">
      <c r="C442" s="80"/>
      <c r="K442" s="81">
        <f>SUM(Table1[[#This Row],[Technical Knowledge]:[Repeat job nahin aana]])/6</f>
        <v>0</v>
      </c>
      <c r="L442" s="79" t="str">
        <f>IFERROR(AVERAGEIFS(Table1[Final Score],Table1[Month],Table1[[#This Row],[Month]],Table1[Year],Table1[[#This Row],[Year]],Table1[Mechanic Name],Table1[[#This Row],[Mechanic Name]]),"")</f>
        <v/>
      </c>
    </row>
    <row r="443" spans="3:12" hidden="1" x14ac:dyDescent="0.35">
      <c r="C443" s="80"/>
      <c r="K443" s="81">
        <f>SUM(Table1[[#This Row],[Technical Knowledge]:[Repeat job nahin aana]])/6</f>
        <v>0</v>
      </c>
      <c r="L443" s="79" t="str">
        <f>IFERROR(AVERAGEIFS(Table1[Final Score],Table1[Month],Table1[[#This Row],[Month]],Table1[Year],Table1[[#This Row],[Year]],Table1[Mechanic Name],Table1[[#This Row],[Mechanic Name]]),"")</f>
        <v/>
      </c>
    </row>
    <row r="444" spans="3:12" hidden="1" x14ac:dyDescent="0.35">
      <c r="C444" s="80"/>
      <c r="K444" s="81">
        <f>SUM(Table1[[#This Row],[Technical Knowledge]:[Repeat job nahin aana]])/6</f>
        <v>0</v>
      </c>
      <c r="L444" s="79" t="str">
        <f>IFERROR(AVERAGEIFS(Table1[Final Score],Table1[Month],Table1[[#This Row],[Month]],Table1[Year],Table1[[#This Row],[Year]],Table1[Mechanic Name],Table1[[#This Row],[Mechanic Name]]),"")</f>
        <v/>
      </c>
    </row>
    <row r="445" spans="3:12" hidden="1" x14ac:dyDescent="0.35">
      <c r="C445" s="80"/>
      <c r="K445" s="81">
        <f>SUM(Table1[[#This Row],[Technical Knowledge]:[Repeat job nahin aana]])/6</f>
        <v>0</v>
      </c>
      <c r="L445" s="79" t="str">
        <f>IFERROR(AVERAGEIFS(Table1[Final Score],Table1[Month],Table1[[#This Row],[Month]],Table1[Year],Table1[[#This Row],[Year]],Table1[Mechanic Name],Table1[[#This Row],[Mechanic Name]]),"")</f>
        <v/>
      </c>
    </row>
    <row r="446" spans="3:12" hidden="1" x14ac:dyDescent="0.35">
      <c r="C446" s="80"/>
      <c r="K446" s="81">
        <f>SUM(Table1[[#This Row],[Technical Knowledge]:[Repeat job nahin aana]])/6</f>
        <v>0</v>
      </c>
      <c r="L446" s="79" t="str">
        <f>IFERROR(AVERAGEIFS(Table1[Final Score],Table1[Month],Table1[[#This Row],[Month]],Table1[Year],Table1[[#This Row],[Year]],Table1[Mechanic Name],Table1[[#This Row],[Mechanic Name]]),"")</f>
        <v/>
      </c>
    </row>
    <row r="447" spans="3:12" hidden="1" x14ac:dyDescent="0.35">
      <c r="C447" s="80"/>
      <c r="K447" s="81">
        <f>SUM(Table1[[#This Row],[Technical Knowledge]:[Repeat job nahin aana]])/6</f>
        <v>0</v>
      </c>
      <c r="L447" s="79" t="str">
        <f>IFERROR(AVERAGEIFS(Table1[Final Score],Table1[Month],Table1[[#This Row],[Month]],Table1[Year],Table1[[#This Row],[Year]],Table1[Mechanic Name],Table1[[#This Row],[Mechanic Name]]),"")</f>
        <v/>
      </c>
    </row>
    <row r="448" spans="3:12" hidden="1" x14ac:dyDescent="0.35">
      <c r="C448" s="80"/>
      <c r="K448" s="81">
        <f>SUM(Table1[[#This Row],[Technical Knowledge]:[Repeat job nahin aana]])/6</f>
        <v>0</v>
      </c>
      <c r="L448" s="79" t="str">
        <f>IFERROR(AVERAGEIFS(Table1[Final Score],Table1[Month],Table1[[#This Row],[Month]],Table1[Year],Table1[[#This Row],[Year]],Table1[Mechanic Name],Table1[[#This Row],[Mechanic Name]]),"")</f>
        <v/>
      </c>
    </row>
    <row r="449" spans="3:12" hidden="1" x14ac:dyDescent="0.35">
      <c r="C449" s="80"/>
      <c r="K449" s="81">
        <f>SUM(Table1[[#This Row],[Technical Knowledge]:[Repeat job nahin aana]])/6</f>
        <v>0</v>
      </c>
      <c r="L449" s="79" t="str">
        <f>IFERROR(AVERAGEIFS(Table1[Final Score],Table1[Month],Table1[[#This Row],[Month]],Table1[Year],Table1[[#This Row],[Year]],Table1[Mechanic Name],Table1[[#This Row],[Mechanic Name]]),"")</f>
        <v/>
      </c>
    </row>
    <row r="450" spans="3:12" hidden="1" x14ac:dyDescent="0.35">
      <c r="C450" s="80"/>
      <c r="K450" s="81">
        <f>SUM(Table1[[#This Row],[Technical Knowledge]:[Repeat job nahin aana]])/6</f>
        <v>0</v>
      </c>
      <c r="L450" s="79" t="str">
        <f>IFERROR(AVERAGEIFS(Table1[Final Score],Table1[Month],Table1[[#This Row],[Month]],Table1[Year],Table1[[#This Row],[Year]],Table1[Mechanic Name],Table1[[#This Row],[Mechanic Name]]),"")</f>
        <v/>
      </c>
    </row>
    <row r="451" spans="3:12" hidden="1" x14ac:dyDescent="0.35">
      <c r="C451" s="80"/>
      <c r="K451" s="81">
        <f>SUM(Table1[[#This Row],[Technical Knowledge]:[Repeat job nahin aana]])/6</f>
        <v>0</v>
      </c>
      <c r="L451" s="79" t="str">
        <f>IFERROR(AVERAGEIFS(Table1[Final Score],Table1[Month],Table1[[#This Row],[Month]],Table1[Year],Table1[[#This Row],[Year]],Table1[Mechanic Name],Table1[[#This Row],[Mechanic Name]]),"")</f>
        <v/>
      </c>
    </row>
    <row r="452" spans="3:12" hidden="1" x14ac:dyDescent="0.35">
      <c r="C452" s="80"/>
      <c r="K452" s="81">
        <f>SUM(Table1[[#This Row],[Technical Knowledge]:[Repeat job nahin aana]])/6</f>
        <v>0</v>
      </c>
      <c r="L452" s="79" t="str">
        <f>IFERROR(AVERAGEIFS(Table1[Final Score],Table1[Month],Table1[[#This Row],[Month]],Table1[Year],Table1[[#This Row],[Year]],Table1[Mechanic Name],Table1[[#This Row],[Mechanic Name]]),"")</f>
        <v/>
      </c>
    </row>
    <row r="453" spans="3:12" hidden="1" x14ac:dyDescent="0.35">
      <c r="C453" s="80"/>
      <c r="K453" s="81">
        <f>SUM(Table1[[#This Row],[Technical Knowledge]:[Repeat job nahin aana]])/6</f>
        <v>0</v>
      </c>
      <c r="L453" s="79" t="str">
        <f>IFERROR(AVERAGEIFS(Table1[Final Score],Table1[Month],Table1[[#This Row],[Month]],Table1[Year],Table1[[#This Row],[Year]],Table1[Mechanic Name],Table1[[#This Row],[Mechanic Name]]),"")</f>
        <v/>
      </c>
    </row>
    <row r="454" spans="3:12" hidden="1" x14ac:dyDescent="0.35">
      <c r="C454" s="80"/>
      <c r="K454" s="81">
        <f>SUM(Table1[[#This Row],[Technical Knowledge]:[Repeat job nahin aana]])/6</f>
        <v>0</v>
      </c>
      <c r="L454" s="79" t="str">
        <f>IFERROR(AVERAGEIFS(Table1[Final Score],Table1[Month],Table1[[#This Row],[Month]],Table1[Year],Table1[[#This Row],[Year]],Table1[Mechanic Name],Table1[[#This Row],[Mechanic Name]]),"")</f>
        <v/>
      </c>
    </row>
    <row r="455" spans="3:12" hidden="1" x14ac:dyDescent="0.35">
      <c r="C455" s="80"/>
      <c r="K455" s="81">
        <f>SUM(Table1[[#This Row],[Technical Knowledge]:[Repeat job nahin aana]])/6</f>
        <v>0</v>
      </c>
      <c r="L455" s="79" t="str">
        <f>IFERROR(AVERAGEIFS(Table1[Final Score],Table1[Month],Table1[[#This Row],[Month]],Table1[Year],Table1[[#This Row],[Year]],Table1[Mechanic Name],Table1[[#This Row],[Mechanic Name]]),"")</f>
        <v/>
      </c>
    </row>
    <row r="456" spans="3:12" hidden="1" x14ac:dyDescent="0.35">
      <c r="C456" s="80"/>
      <c r="K456" s="81">
        <f>SUM(Table1[[#This Row],[Technical Knowledge]:[Repeat job nahin aana]])/6</f>
        <v>0</v>
      </c>
      <c r="L456" s="79" t="str">
        <f>IFERROR(AVERAGEIFS(Table1[Final Score],Table1[Month],Table1[[#This Row],[Month]],Table1[Year],Table1[[#This Row],[Year]],Table1[Mechanic Name],Table1[[#This Row],[Mechanic Name]]),"")</f>
        <v/>
      </c>
    </row>
    <row r="457" spans="3:12" hidden="1" x14ac:dyDescent="0.35">
      <c r="C457" s="80"/>
      <c r="K457" s="81">
        <f>SUM(Table1[[#This Row],[Technical Knowledge]:[Repeat job nahin aana]])/6</f>
        <v>0</v>
      </c>
      <c r="L457" s="79" t="str">
        <f>IFERROR(AVERAGEIFS(Table1[Final Score],Table1[Month],Table1[[#This Row],[Month]],Table1[Year],Table1[[#This Row],[Year]],Table1[Mechanic Name],Table1[[#This Row],[Mechanic Name]]),"")</f>
        <v/>
      </c>
    </row>
    <row r="458" spans="3:12" hidden="1" x14ac:dyDescent="0.35">
      <c r="C458" s="80"/>
      <c r="K458" s="81">
        <f>SUM(Table1[[#This Row],[Technical Knowledge]:[Repeat job nahin aana]])/6</f>
        <v>0</v>
      </c>
      <c r="L458" s="79" t="str">
        <f>IFERROR(AVERAGEIFS(Table1[Final Score],Table1[Month],Table1[[#This Row],[Month]],Table1[Year],Table1[[#This Row],[Year]],Table1[Mechanic Name],Table1[[#This Row],[Mechanic Name]]),"")</f>
        <v/>
      </c>
    </row>
    <row r="459" spans="3:12" hidden="1" x14ac:dyDescent="0.35">
      <c r="C459" s="80"/>
      <c r="K459" s="81">
        <f>SUM(Table1[[#This Row],[Technical Knowledge]:[Repeat job nahin aana]])/6</f>
        <v>0</v>
      </c>
      <c r="L459" s="79" t="str">
        <f>IFERROR(AVERAGEIFS(Table1[Final Score],Table1[Month],Table1[[#This Row],[Month]],Table1[Year],Table1[[#This Row],[Year]],Table1[Mechanic Name],Table1[[#This Row],[Mechanic Name]]),"")</f>
        <v/>
      </c>
    </row>
    <row r="460" spans="3:12" hidden="1" x14ac:dyDescent="0.35">
      <c r="C460" s="80"/>
      <c r="K460" s="81">
        <f>SUM(Table1[[#This Row],[Technical Knowledge]:[Repeat job nahin aana]])/6</f>
        <v>0</v>
      </c>
      <c r="L460" s="79" t="str">
        <f>IFERROR(AVERAGEIFS(Table1[Final Score],Table1[Month],Table1[[#This Row],[Month]],Table1[Year],Table1[[#This Row],[Year]],Table1[Mechanic Name],Table1[[#This Row],[Mechanic Name]]),"")</f>
        <v/>
      </c>
    </row>
    <row r="461" spans="3:12" hidden="1" x14ac:dyDescent="0.35">
      <c r="C461" s="80"/>
      <c r="K461" s="81">
        <f>SUM(Table1[[#This Row],[Technical Knowledge]:[Repeat job nahin aana]])/6</f>
        <v>0</v>
      </c>
      <c r="L461" s="79" t="str">
        <f>IFERROR(AVERAGEIFS(Table1[Final Score],Table1[Month],Table1[[#This Row],[Month]],Table1[Year],Table1[[#This Row],[Year]],Table1[Mechanic Name],Table1[[#This Row],[Mechanic Name]]),"")</f>
        <v/>
      </c>
    </row>
    <row r="462" spans="3:12" hidden="1" x14ac:dyDescent="0.35">
      <c r="C462" s="80"/>
      <c r="K462" s="81">
        <f>SUM(Table1[[#This Row],[Technical Knowledge]:[Repeat job nahin aana]])/6</f>
        <v>0</v>
      </c>
      <c r="L462" s="79" t="str">
        <f>IFERROR(AVERAGEIFS(Table1[Final Score],Table1[Month],Table1[[#This Row],[Month]],Table1[Year],Table1[[#This Row],[Year]],Table1[Mechanic Name],Table1[[#This Row],[Mechanic Name]]),"")</f>
        <v/>
      </c>
    </row>
    <row r="463" spans="3:12" hidden="1" x14ac:dyDescent="0.35">
      <c r="C463" s="80"/>
      <c r="K463" s="81">
        <f>SUM(Table1[[#This Row],[Technical Knowledge]:[Repeat job nahin aana]])/6</f>
        <v>0</v>
      </c>
      <c r="L463" s="79" t="str">
        <f>IFERROR(AVERAGEIFS(Table1[Final Score],Table1[Month],Table1[[#This Row],[Month]],Table1[Year],Table1[[#This Row],[Year]],Table1[Mechanic Name],Table1[[#This Row],[Mechanic Name]]),"")</f>
        <v/>
      </c>
    </row>
    <row r="464" spans="3:12" hidden="1" x14ac:dyDescent="0.35">
      <c r="C464" s="80"/>
      <c r="K464" s="81">
        <f>SUM(Table1[[#This Row],[Technical Knowledge]:[Repeat job nahin aana]])/6</f>
        <v>0</v>
      </c>
      <c r="L464" s="79" t="str">
        <f>IFERROR(AVERAGEIFS(Table1[Final Score],Table1[Month],Table1[[#This Row],[Month]],Table1[Year],Table1[[#This Row],[Year]],Table1[Mechanic Name],Table1[[#This Row],[Mechanic Name]]),"")</f>
        <v/>
      </c>
    </row>
    <row r="465" spans="3:12" hidden="1" x14ac:dyDescent="0.35">
      <c r="C465" s="80"/>
      <c r="K465" s="81">
        <f>SUM(Table1[[#This Row],[Technical Knowledge]:[Repeat job nahin aana]])/6</f>
        <v>0</v>
      </c>
      <c r="L465" s="79" t="str">
        <f>IFERROR(AVERAGEIFS(Table1[Final Score],Table1[Month],Table1[[#This Row],[Month]],Table1[Year],Table1[[#This Row],[Year]],Table1[Mechanic Name],Table1[[#This Row],[Mechanic Name]]),"")</f>
        <v/>
      </c>
    </row>
    <row r="466" spans="3:12" hidden="1" x14ac:dyDescent="0.35">
      <c r="C466" s="80"/>
      <c r="K466" s="81">
        <f>SUM(Table1[[#This Row],[Technical Knowledge]:[Repeat job nahin aana]])/6</f>
        <v>0</v>
      </c>
      <c r="L466" s="79" t="str">
        <f>IFERROR(AVERAGEIFS(Table1[Final Score],Table1[Month],Table1[[#This Row],[Month]],Table1[Year],Table1[[#This Row],[Year]],Table1[Mechanic Name],Table1[[#This Row],[Mechanic Name]]),"")</f>
        <v/>
      </c>
    </row>
    <row r="467" spans="3:12" hidden="1" x14ac:dyDescent="0.35">
      <c r="C467" s="80"/>
      <c r="K467" s="81">
        <f>SUM(Table1[[#This Row],[Technical Knowledge]:[Repeat job nahin aana]])/6</f>
        <v>0</v>
      </c>
      <c r="L467" s="79" t="str">
        <f>IFERROR(AVERAGEIFS(Table1[Final Score],Table1[Month],Table1[[#This Row],[Month]],Table1[Year],Table1[[#This Row],[Year]],Table1[Mechanic Name],Table1[[#This Row],[Mechanic Name]]),"")</f>
        <v/>
      </c>
    </row>
    <row r="468" spans="3:12" hidden="1" x14ac:dyDescent="0.35">
      <c r="C468" s="80"/>
      <c r="K468" s="81">
        <f>SUM(Table1[[#This Row],[Technical Knowledge]:[Repeat job nahin aana]])/6</f>
        <v>0</v>
      </c>
      <c r="L468" s="79" t="str">
        <f>IFERROR(AVERAGEIFS(Table1[Final Score],Table1[Month],Table1[[#This Row],[Month]],Table1[Year],Table1[[#This Row],[Year]],Table1[Mechanic Name],Table1[[#This Row],[Mechanic Name]]),"")</f>
        <v/>
      </c>
    </row>
    <row r="469" spans="3:12" hidden="1" x14ac:dyDescent="0.35">
      <c r="C469" s="80"/>
      <c r="K469" s="81">
        <f>SUM(Table1[[#This Row],[Technical Knowledge]:[Repeat job nahin aana]])/6</f>
        <v>0</v>
      </c>
      <c r="L469" s="79" t="str">
        <f>IFERROR(AVERAGEIFS(Table1[Final Score],Table1[Month],Table1[[#This Row],[Month]],Table1[Year],Table1[[#This Row],[Year]],Table1[Mechanic Name],Table1[[#This Row],[Mechanic Name]]),"")</f>
        <v/>
      </c>
    </row>
    <row r="470" spans="3:12" hidden="1" x14ac:dyDescent="0.35">
      <c r="C470" s="80"/>
      <c r="K470" s="81">
        <f>SUM(Table1[[#This Row],[Technical Knowledge]:[Repeat job nahin aana]])/6</f>
        <v>0</v>
      </c>
      <c r="L470" s="79" t="str">
        <f>IFERROR(AVERAGEIFS(Table1[Final Score],Table1[Month],Table1[[#This Row],[Month]],Table1[Year],Table1[[#This Row],[Year]],Table1[Mechanic Name],Table1[[#This Row],[Mechanic Name]]),"")</f>
        <v/>
      </c>
    </row>
    <row r="471" spans="3:12" hidden="1" x14ac:dyDescent="0.35">
      <c r="C471" s="80"/>
      <c r="K471" s="81">
        <f>SUM(Table1[[#This Row],[Technical Knowledge]:[Repeat job nahin aana]])/6</f>
        <v>0</v>
      </c>
      <c r="L471" s="79" t="str">
        <f>IFERROR(AVERAGEIFS(Table1[Final Score],Table1[Month],Table1[[#This Row],[Month]],Table1[Year],Table1[[#This Row],[Year]],Table1[Mechanic Name],Table1[[#This Row],[Mechanic Name]]),"")</f>
        <v/>
      </c>
    </row>
    <row r="472" spans="3:12" hidden="1" x14ac:dyDescent="0.35">
      <c r="C472" s="80"/>
      <c r="K472" s="81">
        <f>SUM(Table1[[#This Row],[Technical Knowledge]:[Repeat job nahin aana]])/6</f>
        <v>0</v>
      </c>
      <c r="L472" s="79" t="str">
        <f>IFERROR(AVERAGEIFS(Table1[Final Score],Table1[Month],Table1[[#This Row],[Month]],Table1[Year],Table1[[#This Row],[Year]],Table1[Mechanic Name],Table1[[#This Row],[Mechanic Name]]),"")</f>
        <v/>
      </c>
    </row>
    <row r="473" spans="3:12" hidden="1" x14ac:dyDescent="0.35">
      <c r="C473" s="80"/>
      <c r="K473" s="81">
        <f>SUM(Table1[[#This Row],[Technical Knowledge]:[Repeat job nahin aana]])/6</f>
        <v>0</v>
      </c>
      <c r="L473" s="79" t="str">
        <f>IFERROR(AVERAGEIFS(Table1[Final Score],Table1[Month],Table1[[#This Row],[Month]],Table1[Year],Table1[[#This Row],[Year]],Table1[Mechanic Name],Table1[[#This Row],[Mechanic Name]]),"")</f>
        <v/>
      </c>
    </row>
    <row r="474" spans="3:12" hidden="1" x14ac:dyDescent="0.35">
      <c r="C474" s="80"/>
      <c r="K474" s="81">
        <f>SUM(Table1[[#This Row],[Technical Knowledge]:[Repeat job nahin aana]])/6</f>
        <v>0</v>
      </c>
      <c r="L474" s="79" t="str">
        <f>IFERROR(AVERAGEIFS(Table1[Final Score],Table1[Month],Table1[[#This Row],[Month]],Table1[Year],Table1[[#This Row],[Year]],Table1[Mechanic Name],Table1[[#This Row],[Mechanic Name]]),"")</f>
        <v/>
      </c>
    </row>
    <row r="475" spans="3:12" hidden="1" x14ac:dyDescent="0.35">
      <c r="C475" s="80"/>
      <c r="K475" s="81">
        <f>SUM(Table1[[#This Row],[Technical Knowledge]:[Repeat job nahin aana]])/6</f>
        <v>0</v>
      </c>
      <c r="L475" s="79" t="str">
        <f>IFERROR(AVERAGEIFS(Table1[Final Score],Table1[Month],Table1[[#This Row],[Month]],Table1[Year],Table1[[#This Row],[Year]],Table1[Mechanic Name],Table1[[#This Row],[Mechanic Name]]),"")</f>
        <v/>
      </c>
    </row>
    <row r="476" spans="3:12" hidden="1" x14ac:dyDescent="0.35">
      <c r="C476" s="80"/>
      <c r="K476" s="81">
        <f>SUM(Table1[[#This Row],[Technical Knowledge]:[Repeat job nahin aana]])/6</f>
        <v>0</v>
      </c>
      <c r="L476" s="79" t="str">
        <f>IFERROR(AVERAGEIFS(Table1[Final Score],Table1[Month],Table1[[#This Row],[Month]],Table1[Year],Table1[[#This Row],[Year]],Table1[Mechanic Name],Table1[[#This Row],[Mechanic Name]]),"")</f>
        <v/>
      </c>
    </row>
    <row r="477" spans="3:12" hidden="1" x14ac:dyDescent="0.35">
      <c r="C477" s="80"/>
      <c r="K477" s="81">
        <f>SUM(Table1[[#This Row],[Technical Knowledge]:[Repeat job nahin aana]])/6</f>
        <v>0</v>
      </c>
      <c r="L477" s="79" t="str">
        <f>IFERROR(AVERAGEIFS(Table1[Final Score],Table1[Month],Table1[[#This Row],[Month]],Table1[Year],Table1[[#This Row],[Year]],Table1[Mechanic Name],Table1[[#This Row],[Mechanic Name]]),"")</f>
        <v/>
      </c>
    </row>
    <row r="478" spans="3:12" hidden="1" x14ac:dyDescent="0.35">
      <c r="C478" s="80"/>
      <c r="K478" s="81">
        <f>SUM(Table1[[#This Row],[Technical Knowledge]:[Repeat job nahin aana]])/6</f>
        <v>0</v>
      </c>
      <c r="L478" s="79" t="str">
        <f>IFERROR(AVERAGEIFS(Table1[Final Score],Table1[Month],Table1[[#This Row],[Month]],Table1[Year],Table1[[#This Row],[Year]],Table1[Mechanic Name],Table1[[#This Row],[Mechanic Name]]),"")</f>
        <v/>
      </c>
    </row>
    <row r="479" spans="3:12" hidden="1" x14ac:dyDescent="0.35">
      <c r="C479" s="80"/>
      <c r="K479" s="81">
        <f>SUM(Table1[[#This Row],[Technical Knowledge]:[Repeat job nahin aana]])/6</f>
        <v>0</v>
      </c>
      <c r="L479" s="79" t="str">
        <f>IFERROR(AVERAGEIFS(Table1[Final Score],Table1[Month],Table1[[#This Row],[Month]],Table1[Year],Table1[[#This Row],[Year]],Table1[Mechanic Name],Table1[[#This Row],[Mechanic Name]]),"")</f>
        <v/>
      </c>
    </row>
    <row r="480" spans="3:12" hidden="1" x14ac:dyDescent="0.35">
      <c r="C480" s="80"/>
      <c r="K480" s="81">
        <f>SUM(Table1[[#This Row],[Technical Knowledge]:[Repeat job nahin aana]])/6</f>
        <v>0</v>
      </c>
      <c r="L480" s="79" t="str">
        <f>IFERROR(AVERAGEIFS(Table1[Final Score],Table1[Month],Table1[[#This Row],[Month]],Table1[Year],Table1[[#This Row],[Year]],Table1[Mechanic Name],Table1[[#This Row],[Mechanic Name]]),"")</f>
        <v/>
      </c>
    </row>
    <row r="481" spans="3:12" hidden="1" x14ac:dyDescent="0.35">
      <c r="C481" s="80"/>
      <c r="K481" s="81">
        <f>SUM(Table1[[#This Row],[Technical Knowledge]:[Repeat job nahin aana]])/6</f>
        <v>0</v>
      </c>
      <c r="L481" s="79" t="str">
        <f>IFERROR(AVERAGEIFS(Table1[Final Score],Table1[Month],Table1[[#This Row],[Month]],Table1[Year],Table1[[#This Row],[Year]],Table1[Mechanic Name],Table1[[#This Row],[Mechanic Name]]),"")</f>
        <v/>
      </c>
    </row>
    <row r="482" spans="3:12" hidden="1" x14ac:dyDescent="0.35">
      <c r="C482" s="80"/>
      <c r="K482" s="81">
        <f>SUM(Table1[[#This Row],[Technical Knowledge]:[Repeat job nahin aana]])/6</f>
        <v>0</v>
      </c>
      <c r="L482" s="79" t="str">
        <f>IFERROR(AVERAGEIFS(Table1[Final Score],Table1[Month],Table1[[#This Row],[Month]],Table1[Year],Table1[[#This Row],[Year]],Table1[Mechanic Name],Table1[[#This Row],[Mechanic Name]]),"")</f>
        <v/>
      </c>
    </row>
    <row r="483" spans="3:12" hidden="1" x14ac:dyDescent="0.35">
      <c r="C483" s="80"/>
      <c r="K483" s="81">
        <f>SUM(Table1[[#This Row],[Technical Knowledge]:[Repeat job nahin aana]])/6</f>
        <v>0</v>
      </c>
      <c r="L483" s="79" t="str">
        <f>IFERROR(AVERAGEIFS(Table1[Final Score],Table1[Month],Table1[[#This Row],[Month]],Table1[Year],Table1[[#This Row],[Year]],Table1[Mechanic Name],Table1[[#This Row],[Mechanic Name]]),"")</f>
        <v/>
      </c>
    </row>
    <row r="484" spans="3:12" hidden="1" x14ac:dyDescent="0.35">
      <c r="C484" s="80"/>
      <c r="K484" s="81">
        <f>SUM(Table1[[#This Row],[Technical Knowledge]:[Repeat job nahin aana]])/6</f>
        <v>0</v>
      </c>
      <c r="L484" s="79" t="str">
        <f>IFERROR(AVERAGEIFS(Table1[Final Score],Table1[Month],Table1[[#This Row],[Month]],Table1[Year],Table1[[#This Row],[Year]],Table1[Mechanic Name],Table1[[#This Row],[Mechanic Name]]),"")</f>
        <v/>
      </c>
    </row>
    <row r="485" spans="3:12" hidden="1" x14ac:dyDescent="0.35">
      <c r="C485" s="80"/>
      <c r="K485" s="81">
        <f>SUM(Table1[[#This Row],[Technical Knowledge]:[Repeat job nahin aana]])/6</f>
        <v>0</v>
      </c>
      <c r="L485" s="79" t="str">
        <f>IFERROR(AVERAGEIFS(Table1[Final Score],Table1[Month],Table1[[#This Row],[Month]],Table1[Year],Table1[[#This Row],[Year]],Table1[Mechanic Name],Table1[[#This Row],[Mechanic Name]]),"")</f>
        <v/>
      </c>
    </row>
    <row r="486" spans="3:12" hidden="1" x14ac:dyDescent="0.35">
      <c r="C486" s="80"/>
      <c r="K486" s="81">
        <f>SUM(Table1[[#This Row],[Technical Knowledge]:[Repeat job nahin aana]])/6</f>
        <v>0</v>
      </c>
      <c r="L486" s="79" t="str">
        <f>IFERROR(AVERAGEIFS(Table1[Final Score],Table1[Month],Table1[[#This Row],[Month]],Table1[Year],Table1[[#This Row],[Year]],Table1[Mechanic Name],Table1[[#This Row],[Mechanic Name]]),"")</f>
        <v/>
      </c>
    </row>
    <row r="487" spans="3:12" hidden="1" x14ac:dyDescent="0.35">
      <c r="C487" s="80"/>
      <c r="K487" s="81">
        <f>SUM(Table1[[#This Row],[Technical Knowledge]:[Repeat job nahin aana]])/6</f>
        <v>0</v>
      </c>
      <c r="L487" s="79" t="str">
        <f>IFERROR(AVERAGEIFS(Table1[Final Score],Table1[Month],Table1[[#This Row],[Month]],Table1[Year],Table1[[#This Row],[Year]],Table1[Mechanic Name],Table1[[#This Row],[Mechanic Name]]),"")</f>
        <v/>
      </c>
    </row>
    <row r="488" spans="3:12" hidden="1" x14ac:dyDescent="0.35">
      <c r="C488" s="80"/>
      <c r="K488" s="81">
        <f>SUM(Table1[[#This Row],[Technical Knowledge]:[Repeat job nahin aana]])/6</f>
        <v>0</v>
      </c>
      <c r="L488" s="79" t="str">
        <f>IFERROR(AVERAGEIFS(Table1[Final Score],Table1[Month],Table1[[#This Row],[Month]],Table1[Year],Table1[[#This Row],[Year]],Table1[Mechanic Name],Table1[[#This Row],[Mechanic Name]]),"")</f>
        <v/>
      </c>
    </row>
    <row r="489" spans="3:12" hidden="1" x14ac:dyDescent="0.35">
      <c r="C489" s="80"/>
      <c r="K489" s="81">
        <f>SUM(Table1[[#This Row],[Technical Knowledge]:[Repeat job nahin aana]])/6</f>
        <v>0</v>
      </c>
      <c r="L489" s="79" t="str">
        <f>IFERROR(AVERAGEIFS(Table1[Final Score],Table1[Month],Table1[[#This Row],[Month]],Table1[Year],Table1[[#This Row],[Year]],Table1[Mechanic Name],Table1[[#This Row],[Mechanic Name]]),"")</f>
        <v/>
      </c>
    </row>
    <row r="490" spans="3:12" hidden="1" x14ac:dyDescent="0.35">
      <c r="C490" s="80"/>
      <c r="K490" s="81">
        <f>SUM(Table1[[#This Row],[Technical Knowledge]:[Repeat job nahin aana]])/6</f>
        <v>0</v>
      </c>
      <c r="L490" s="79" t="str">
        <f>IFERROR(AVERAGEIFS(Table1[Final Score],Table1[Month],Table1[[#This Row],[Month]],Table1[Year],Table1[[#This Row],[Year]],Table1[Mechanic Name],Table1[[#This Row],[Mechanic Name]]),"")</f>
        <v/>
      </c>
    </row>
    <row r="491" spans="3:12" hidden="1" x14ac:dyDescent="0.35">
      <c r="C491" s="80"/>
      <c r="K491" s="81">
        <f>SUM(Table1[[#This Row],[Technical Knowledge]:[Repeat job nahin aana]])/6</f>
        <v>0</v>
      </c>
      <c r="L491" s="79" t="str">
        <f>IFERROR(AVERAGEIFS(Table1[Final Score],Table1[Month],Table1[[#This Row],[Month]],Table1[Year],Table1[[#This Row],[Year]],Table1[Mechanic Name],Table1[[#This Row],[Mechanic Name]]),"")</f>
        <v/>
      </c>
    </row>
    <row r="492" spans="3:12" hidden="1" x14ac:dyDescent="0.35">
      <c r="C492" s="80"/>
      <c r="K492" s="81">
        <f>SUM(Table1[[#This Row],[Technical Knowledge]:[Repeat job nahin aana]])/6</f>
        <v>0</v>
      </c>
      <c r="L492" s="79" t="str">
        <f>IFERROR(AVERAGEIFS(Table1[Final Score],Table1[Month],Table1[[#This Row],[Month]],Table1[Year],Table1[[#This Row],[Year]],Table1[Mechanic Name],Table1[[#This Row],[Mechanic Name]]),"")</f>
        <v/>
      </c>
    </row>
    <row r="493" spans="3:12" hidden="1" x14ac:dyDescent="0.35">
      <c r="C493" s="80"/>
      <c r="K493" s="81">
        <f>SUM(Table1[[#This Row],[Technical Knowledge]:[Repeat job nahin aana]])/6</f>
        <v>0</v>
      </c>
      <c r="L493" s="79" t="str">
        <f>IFERROR(AVERAGEIFS(Table1[Final Score],Table1[Month],Table1[[#This Row],[Month]],Table1[Year],Table1[[#This Row],[Year]],Table1[Mechanic Name],Table1[[#This Row],[Mechanic Name]]),"")</f>
        <v/>
      </c>
    </row>
    <row r="494" spans="3:12" hidden="1" x14ac:dyDescent="0.35">
      <c r="C494" s="80"/>
      <c r="K494" s="81">
        <f>SUM(Table1[[#This Row],[Technical Knowledge]:[Repeat job nahin aana]])/6</f>
        <v>0</v>
      </c>
      <c r="L494" s="79" t="str">
        <f>IFERROR(AVERAGEIFS(Table1[Final Score],Table1[Month],Table1[[#This Row],[Month]],Table1[Year],Table1[[#This Row],[Year]],Table1[Mechanic Name],Table1[[#This Row],[Mechanic Name]]),"")</f>
        <v/>
      </c>
    </row>
    <row r="495" spans="3:12" hidden="1" x14ac:dyDescent="0.35">
      <c r="C495" s="80"/>
      <c r="K495" s="81">
        <f>SUM(Table1[[#This Row],[Technical Knowledge]:[Repeat job nahin aana]])/6</f>
        <v>0</v>
      </c>
      <c r="L495" s="79" t="str">
        <f>IFERROR(AVERAGEIFS(Table1[Final Score],Table1[Month],Table1[[#This Row],[Month]],Table1[Year],Table1[[#This Row],[Year]],Table1[Mechanic Name],Table1[[#This Row],[Mechanic Name]]),"")</f>
        <v/>
      </c>
    </row>
    <row r="496" spans="3:12" hidden="1" x14ac:dyDescent="0.35">
      <c r="C496" s="80"/>
      <c r="K496" s="81">
        <f>SUM(Table1[[#This Row],[Technical Knowledge]:[Repeat job nahin aana]])/6</f>
        <v>0</v>
      </c>
      <c r="L496" s="79" t="str">
        <f>IFERROR(AVERAGEIFS(Table1[Final Score],Table1[Month],Table1[[#This Row],[Month]],Table1[Year],Table1[[#This Row],[Year]],Table1[Mechanic Name],Table1[[#This Row],[Mechanic Name]]),"")</f>
        <v/>
      </c>
    </row>
    <row r="497" spans="3:12" hidden="1" x14ac:dyDescent="0.35">
      <c r="C497" s="80"/>
      <c r="K497" s="81">
        <f>SUM(Table1[[#This Row],[Technical Knowledge]:[Repeat job nahin aana]])/6</f>
        <v>0</v>
      </c>
      <c r="L497" s="79" t="str">
        <f>IFERROR(AVERAGEIFS(Table1[Final Score],Table1[Month],Table1[[#This Row],[Month]],Table1[Year],Table1[[#This Row],[Year]],Table1[Mechanic Name],Table1[[#This Row],[Mechanic Name]]),"")</f>
        <v/>
      </c>
    </row>
    <row r="498" spans="3:12" hidden="1" x14ac:dyDescent="0.35">
      <c r="C498" s="80"/>
      <c r="K498" s="81">
        <f>SUM(Table1[[#This Row],[Technical Knowledge]:[Repeat job nahin aana]])/6</f>
        <v>0</v>
      </c>
      <c r="L498" s="79" t="str">
        <f>IFERROR(AVERAGEIFS(Table1[Final Score],Table1[Month],Table1[[#This Row],[Month]],Table1[Year],Table1[[#This Row],[Year]],Table1[Mechanic Name],Table1[[#This Row],[Mechanic Name]]),"")</f>
        <v/>
      </c>
    </row>
    <row r="499" spans="3:12" hidden="1" x14ac:dyDescent="0.35">
      <c r="C499" s="80"/>
      <c r="K499" s="81">
        <f>SUM(Table1[[#This Row],[Technical Knowledge]:[Repeat job nahin aana]])/6</f>
        <v>0</v>
      </c>
      <c r="L499" s="79" t="str">
        <f>IFERROR(AVERAGEIFS(Table1[Final Score],Table1[Month],Table1[[#This Row],[Month]],Table1[Year],Table1[[#This Row],[Year]],Table1[Mechanic Name],Table1[[#This Row],[Mechanic Name]]),"")</f>
        <v/>
      </c>
    </row>
    <row r="500" spans="3:12" hidden="1" x14ac:dyDescent="0.35">
      <c r="C500" s="80"/>
      <c r="K500" s="81">
        <f>SUM(Table1[[#This Row],[Technical Knowledge]:[Repeat job nahin aana]])/6</f>
        <v>0</v>
      </c>
      <c r="L500" s="79" t="str">
        <f>IFERROR(AVERAGEIFS(Table1[Final Score],Table1[Month],Table1[[#This Row],[Month]],Table1[Year],Table1[[#This Row],[Year]],Table1[Mechanic Name],Table1[[#This Row],[Mechanic Name]]),"")</f>
        <v/>
      </c>
    </row>
    <row r="501" spans="3:12" hidden="1" x14ac:dyDescent="0.35">
      <c r="C501" s="80"/>
      <c r="K501" s="81">
        <f>SUM(Table1[[#This Row],[Technical Knowledge]:[Repeat job nahin aana]])/6</f>
        <v>0</v>
      </c>
      <c r="L501" s="79" t="str">
        <f>IFERROR(AVERAGEIFS(Table1[Final Score],Table1[Month],Table1[[#This Row],[Month]],Table1[Year],Table1[[#This Row],[Year]],Table1[Mechanic Name],Table1[[#This Row],[Mechanic Name]]),"")</f>
        <v/>
      </c>
    </row>
    <row r="502" spans="3:12" hidden="1" x14ac:dyDescent="0.35">
      <c r="C502" s="80"/>
      <c r="K502" s="81">
        <f>SUM(Table1[[#This Row],[Technical Knowledge]:[Repeat job nahin aana]])/6</f>
        <v>0</v>
      </c>
      <c r="L502" s="79" t="str">
        <f>IFERROR(AVERAGEIFS(Table1[Final Score],Table1[Month],Table1[[#This Row],[Month]],Table1[Year],Table1[[#This Row],[Year]],Table1[Mechanic Name],Table1[[#This Row],[Mechanic Name]]),"")</f>
        <v/>
      </c>
    </row>
    <row r="503" spans="3:12" hidden="1" x14ac:dyDescent="0.35">
      <c r="C503" s="80"/>
      <c r="K503" s="81">
        <f>SUM(Table1[[#This Row],[Technical Knowledge]:[Repeat job nahin aana]])/6</f>
        <v>0</v>
      </c>
      <c r="L503" s="79" t="str">
        <f>IFERROR(AVERAGEIFS(Table1[Final Score],Table1[Month],Table1[[#This Row],[Month]],Table1[Year],Table1[[#This Row],[Year]],Table1[Mechanic Name],Table1[[#This Row],[Mechanic Name]]),"")</f>
        <v/>
      </c>
    </row>
    <row r="504" spans="3:12" hidden="1" x14ac:dyDescent="0.35">
      <c r="C504" s="80"/>
      <c r="K504" s="81">
        <f>SUM(Table1[[#This Row],[Technical Knowledge]:[Repeat job nahin aana]])/6</f>
        <v>0</v>
      </c>
      <c r="L504" s="79" t="str">
        <f>IFERROR(AVERAGEIFS(Table1[Final Score],Table1[Month],Table1[[#This Row],[Month]],Table1[Year],Table1[[#This Row],[Year]],Table1[Mechanic Name],Table1[[#This Row],[Mechanic Name]]),"")</f>
        <v/>
      </c>
    </row>
    <row r="505" spans="3:12" hidden="1" x14ac:dyDescent="0.35">
      <c r="C505" s="80"/>
      <c r="K505" s="81">
        <f>SUM(Table1[[#This Row],[Technical Knowledge]:[Repeat job nahin aana]])/6</f>
        <v>0</v>
      </c>
      <c r="L505" s="79" t="str">
        <f>IFERROR(AVERAGEIFS(Table1[Final Score],Table1[Month],Table1[[#This Row],[Month]],Table1[Year],Table1[[#This Row],[Year]],Table1[Mechanic Name],Table1[[#This Row],[Mechanic Name]]),"")</f>
        <v/>
      </c>
    </row>
    <row r="506" spans="3:12" hidden="1" x14ac:dyDescent="0.35">
      <c r="C506" s="80"/>
      <c r="K506" s="81">
        <f>SUM(Table1[[#This Row],[Technical Knowledge]:[Repeat job nahin aana]])/6</f>
        <v>0</v>
      </c>
      <c r="L506" s="79" t="str">
        <f>IFERROR(AVERAGEIFS(Table1[Final Score],Table1[Month],Table1[[#This Row],[Month]],Table1[Year],Table1[[#This Row],[Year]],Table1[Mechanic Name],Table1[[#This Row],[Mechanic Name]]),"")</f>
        <v/>
      </c>
    </row>
    <row r="507" spans="3:12" hidden="1" x14ac:dyDescent="0.35">
      <c r="C507" s="80"/>
      <c r="K507" s="81">
        <f>SUM(Table1[[#This Row],[Technical Knowledge]:[Repeat job nahin aana]])/6</f>
        <v>0</v>
      </c>
      <c r="L507" s="79" t="str">
        <f>IFERROR(AVERAGEIFS(Table1[Final Score],Table1[Month],Table1[[#This Row],[Month]],Table1[Year],Table1[[#This Row],[Year]],Table1[Mechanic Name],Table1[[#This Row],[Mechanic Name]]),"")</f>
        <v/>
      </c>
    </row>
    <row r="508" spans="3:12" hidden="1" x14ac:dyDescent="0.35">
      <c r="C508" s="80"/>
      <c r="K508" s="81">
        <f>SUM(Table1[[#This Row],[Technical Knowledge]:[Repeat job nahin aana]])/6</f>
        <v>0</v>
      </c>
      <c r="L508" s="79" t="str">
        <f>IFERROR(AVERAGEIFS(Table1[Final Score],Table1[Month],Table1[[#This Row],[Month]],Table1[Year],Table1[[#This Row],[Year]],Table1[Mechanic Name],Table1[[#This Row],[Mechanic Name]]),"")</f>
        <v/>
      </c>
    </row>
    <row r="509" spans="3:12" hidden="1" x14ac:dyDescent="0.35">
      <c r="C509" s="80"/>
      <c r="K509" s="81">
        <f>SUM(Table1[[#This Row],[Technical Knowledge]:[Repeat job nahin aana]])/6</f>
        <v>0</v>
      </c>
      <c r="L509" s="79" t="str">
        <f>IFERROR(AVERAGEIFS(Table1[Final Score],Table1[Month],Table1[[#This Row],[Month]],Table1[Year],Table1[[#This Row],[Year]],Table1[Mechanic Name],Table1[[#This Row],[Mechanic Name]]),"")</f>
        <v/>
      </c>
    </row>
    <row r="510" spans="3:12" hidden="1" x14ac:dyDescent="0.35">
      <c r="C510" s="80"/>
      <c r="K510" s="81">
        <f>SUM(Table1[[#This Row],[Technical Knowledge]:[Repeat job nahin aana]])/6</f>
        <v>0</v>
      </c>
      <c r="L510" s="79" t="str">
        <f>IFERROR(AVERAGEIFS(Table1[Final Score],Table1[Month],Table1[[#This Row],[Month]],Table1[Year],Table1[[#This Row],[Year]],Table1[Mechanic Name],Table1[[#This Row],[Mechanic Name]]),"")</f>
        <v/>
      </c>
    </row>
    <row r="511" spans="3:12" hidden="1" x14ac:dyDescent="0.35">
      <c r="C511" s="80"/>
      <c r="K511" s="81">
        <f>SUM(Table1[[#This Row],[Technical Knowledge]:[Repeat job nahin aana]])/6</f>
        <v>0</v>
      </c>
      <c r="L511" s="79" t="str">
        <f>IFERROR(AVERAGEIFS(Table1[Final Score],Table1[Month],Table1[[#This Row],[Month]],Table1[Year],Table1[[#This Row],[Year]],Table1[Mechanic Name],Table1[[#This Row],[Mechanic Name]]),"")</f>
        <v/>
      </c>
    </row>
    <row r="512" spans="3:12" hidden="1" x14ac:dyDescent="0.35">
      <c r="C512" s="80"/>
      <c r="K512" s="81">
        <f>SUM(Table1[[#This Row],[Technical Knowledge]:[Repeat job nahin aana]])/6</f>
        <v>0</v>
      </c>
      <c r="L512" s="79" t="str">
        <f>IFERROR(AVERAGEIFS(Table1[Final Score],Table1[Month],Table1[[#This Row],[Month]],Table1[Year],Table1[[#This Row],[Year]],Table1[Mechanic Name],Table1[[#This Row],[Mechanic Name]]),"")</f>
        <v/>
      </c>
    </row>
    <row r="513" spans="3:12" hidden="1" x14ac:dyDescent="0.35">
      <c r="C513" s="80"/>
      <c r="K513" s="81">
        <f>SUM(Table1[[#This Row],[Technical Knowledge]:[Repeat job nahin aana]])/6</f>
        <v>0</v>
      </c>
      <c r="L513" s="79" t="str">
        <f>IFERROR(AVERAGEIFS(Table1[Final Score],Table1[Month],Table1[[#This Row],[Month]],Table1[Year],Table1[[#This Row],[Year]],Table1[Mechanic Name],Table1[[#This Row],[Mechanic Name]]),"")</f>
        <v/>
      </c>
    </row>
    <row r="514" spans="3:12" hidden="1" x14ac:dyDescent="0.35">
      <c r="C514" s="80"/>
      <c r="K514" s="81">
        <f>SUM(Table1[[#This Row],[Technical Knowledge]:[Repeat job nahin aana]])/6</f>
        <v>0</v>
      </c>
      <c r="L514" s="79" t="str">
        <f>IFERROR(AVERAGEIFS(Table1[Final Score],Table1[Month],Table1[[#This Row],[Month]],Table1[Year],Table1[[#This Row],[Year]],Table1[Mechanic Name],Table1[[#This Row],[Mechanic Name]]),"")</f>
        <v/>
      </c>
    </row>
    <row r="515" spans="3:12" hidden="1" x14ac:dyDescent="0.35">
      <c r="C515" s="80"/>
      <c r="K515" s="81">
        <f>SUM(Table1[[#This Row],[Technical Knowledge]:[Repeat job nahin aana]])/6</f>
        <v>0</v>
      </c>
      <c r="L515" s="79" t="str">
        <f>IFERROR(AVERAGEIFS(Table1[Final Score],Table1[Month],Table1[[#This Row],[Month]],Table1[Year],Table1[[#This Row],[Year]],Table1[Mechanic Name],Table1[[#This Row],[Mechanic Name]]),"")</f>
        <v/>
      </c>
    </row>
    <row r="516" spans="3:12" hidden="1" x14ac:dyDescent="0.35">
      <c r="C516" s="80"/>
      <c r="K516" s="81">
        <f>SUM(Table1[[#This Row],[Technical Knowledge]:[Repeat job nahin aana]])/6</f>
        <v>0</v>
      </c>
      <c r="L516" s="79" t="str">
        <f>IFERROR(AVERAGEIFS(Table1[Final Score],Table1[Month],Table1[[#This Row],[Month]],Table1[Year],Table1[[#This Row],[Year]],Table1[Mechanic Name],Table1[[#This Row],[Mechanic Name]]),"")</f>
        <v/>
      </c>
    </row>
    <row r="517" spans="3:12" hidden="1" x14ac:dyDescent="0.35">
      <c r="C517" s="80"/>
      <c r="K517" s="81">
        <f>SUM(Table1[[#This Row],[Technical Knowledge]:[Repeat job nahin aana]])/6</f>
        <v>0</v>
      </c>
      <c r="L517" s="79" t="str">
        <f>IFERROR(AVERAGEIFS(Table1[Final Score],Table1[Month],Table1[[#This Row],[Month]],Table1[Year],Table1[[#This Row],[Year]],Table1[Mechanic Name],Table1[[#This Row],[Mechanic Name]]),"")</f>
        <v/>
      </c>
    </row>
    <row r="518" spans="3:12" hidden="1" x14ac:dyDescent="0.35">
      <c r="C518" s="80"/>
      <c r="K518" s="81">
        <f>SUM(Table1[[#This Row],[Technical Knowledge]:[Repeat job nahin aana]])/6</f>
        <v>0</v>
      </c>
      <c r="L518" s="79" t="str">
        <f>IFERROR(AVERAGEIFS(Table1[Final Score],Table1[Month],Table1[[#This Row],[Month]],Table1[Year],Table1[[#This Row],[Year]],Table1[Mechanic Name],Table1[[#This Row],[Mechanic Name]]),"")</f>
        <v/>
      </c>
    </row>
    <row r="519" spans="3:12" hidden="1" x14ac:dyDescent="0.35">
      <c r="C519" s="80"/>
      <c r="K519" s="81">
        <f>SUM(Table1[[#This Row],[Technical Knowledge]:[Repeat job nahin aana]])/6</f>
        <v>0</v>
      </c>
      <c r="L519" s="79" t="str">
        <f>IFERROR(AVERAGEIFS(Table1[Final Score],Table1[Month],Table1[[#This Row],[Month]],Table1[Year],Table1[[#This Row],[Year]],Table1[Mechanic Name],Table1[[#This Row],[Mechanic Name]]),"")</f>
        <v/>
      </c>
    </row>
    <row r="520" spans="3:12" hidden="1" x14ac:dyDescent="0.35">
      <c r="C520" s="80"/>
      <c r="K520" s="81">
        <f>SUM(Table1[[#This Row],[Technical Knowledge]:[Repeat job nahin aana]])/6</f>
        <v>0</v>
      </c>
      <c r="L520" s="79" t="str">
        <f>IFERROR(AVERAGEIFS(Table1[Final Score],Table1[Month],Table1[[#This Row],[Month]],Table1[Year],Table1[[#This Row],[Year]],Table1[Mechanic Name],Table1[[#This Row],[Mechanic Name]]),"")</f>
        <v/>
      </c>
    </row>
    <row r="521" spans="3:12" hidden="1" x14ac:dyDescent="0.35">
      <c r="C521" s="80"/>
      <c r="K521" s="81">
        <f>SUM(Table1[[#This Row],[Technical Knowledge]:[Repeat job nahin aana]])/6</f>
        <v>0</v>
      </c>
      <c r="L521" s="79" t="str">
        <f>IFERROR(AVERAGEIFS(Table1[Final Score],Table1[Month],Table1[[#This Row],[Month]],Table1[Year],Table1[[#This Row],[Year]],Table1[Mechanic Name],Table1[[#This Row],[Mechanic Name]]),"")</f>
        <v/>
      </c>
    </row>
    <row r="522" spans="3:12" hidden="1" x14ac:dyDescent="0.35">
      <c r="C522" s="80"/>
      <c r="K522" s="81">
        <f>SUM(Table1[[#This Row],[Technical Knowledge]:[Repeat job nahin aana]])/6</f>
        <v>0</v>
      </c>
      <c r="L522" s="79" t="str">
        <f>IFERROR(AVERAGEIFS(Table1[Final Score],Table1[Month],Table1[[#This Row],[Month]],Table1[Year],Table1[[#This Row],[Year]],Table1[Mechanic Name],Table1[[#This Row],[Mechanic Name]]),"")</f>
        <v/>
      </c>
    </row>
    <row r="523" spans="3:12" hidden="1" x14ac:dyDescent="0.35">
      <c r="C523" s="80"/>
      <c r="K523" s="81">
        <f>SUM(Table1[[#This Row],[Technical Knowledge]:[Repeat job nahin aana]])/6</f>
        <v>0</v>
      </c>
      <c r="L523" s="79" t="str">
        <f>IFERROR(AVERAGEIFS(Table1[Final Score],Table1[Month],Table1[[#This Row],[Month]],Table1[Year],Table1[[#This Row],[Year]],Table1[Mechanic Name],Table1[[#This Row],[Mechanic Name]]),"")</f>
        <v/>
      </c>
    </row>
    <row r="524" spans="3:12" hidden="1" x14ac:dyDescent="0.35">
      <c r="C524" s="80"/>
      <c r="K524" s="81">
        <f>SUM(Table1[[#This Row],[Technical Knowledge]:[Repeat job nahin aana]])/6</f>
        <v>0</v>
      </c>
      <c r="L524" s="79" t="str">
        <f>IFERROR(AVERAGEIFS(Table1[Final Score],Table1[Month],Table1[[#This Row],[Month]],Table1[Year],Table1[[#This Row],[Year]],Table1[Mechanic Name],Table1[[#This Row],[Mechanic Name]]),"")</f>
        <v/>
      </c>
    </row>
    <row r="525" spans="3:12" hidden="1" x14ac:dyDescent="0.35">
      <c r="C525" s="80"/>
      <c r="K525" s="81">
        <f>SUM(Table1[[#This Row],[Technical Knowledge]:[Repeat job nahin aana]])/6</f>
        <v>0</v>
      </c>
      <c r="L525" s="79" t="str">
        <f>IFERROR(AVERAGEIFS(Table1[Final Score],Table1[Month],Table1[[#This Row],[Month]],Table1[Year],Table1[[#This Row],[Year]],Table1[Mechanic Name],Table1[[#This Row],[Mechanic Name]]),"")</f>
        <v/>
      </c>
    </row>
    <row r="526" spans="3:12" hidden="1" x14ac:dyDescent="0.35">
      <c r="C526" s="80"/>
      <c r="K526" s="81">
        <f>SUM(Table1[[#This Row],[Technical Knowledge]:[Repeat job nahin aana]])/6</f>
        <v>0</v>
      </c>
      <c r="L526" s="79" t="str">
        <f>IFERROR(AVERAGEIFS(Table1[Final Score],Table1[Month],Table1[[#This Row],[Month]],Table1[Year],Table1[[#This Row],[Year]],Table1[Mechanic Name],Table1[[#This Row],[Mechanic Name]]),"")</f>
        <v/>
      </c>
    </row>
    <row r="527" spans="3:12" hidden="1" x14ac:dyDescent="0.35">
      <c r="C527" s="80"/>
      <c r="K527" s="81">
        <f>SUM(Table1[[#This Row],[Technical Knowledge]:[Repeat job nahin aana]])/6</f>
        <v>0</v>
      </c>
      <c r="L527" s="79" t="str">
        <f>IFERROR(AVERAGEIFS(Table1[Final Score],Table1[Month],Table1[[#This Row],[Month]],Table1[Year],Table1[[#This Row],[Year]],Table1[Mechanic Name],Table1[[#This Row],[Mechanic Name]]),"")</f>
        <v/>
      </c>
    </row>
    <row r="528" spans="3:12" hidden="1" x14ac:dyDescent="0.35">
      <c r="C528" s="80"/>
      <c r="K528" s="81">
        <f>SUM(Table1[[#This Row],[Technical Knowledge]:[Repeat job nahin aana]])/6</f>
        <v>0</v>
      </c>
      <c r="L528" s="79" t="str">
        <f>IFERROR(AVERAGEIFS(Table1[Final Score],Table1[Month],Table1[[#This Row],[Month]],Table1[Year],Table1[[#This Row],[Year]],Table1[Mechanic Name],Table1[[#This Row],[Mechanic Name]]),"")</f>
        <v/>
      </c>
    </row>
    <row r="529" spans="3:12" hidden="1" x14ac:dyDescent="0.35">
      <c r="C529" s="80"/>
      <c r="K529" s="81">
        <f>SUM(Table1[[#This Row],[Technical Knowledge]:[Repeat job nahin aana]])/6</f>
        <v>0</v>
      </c>
      <c r="L529" s="79" t="str">
        <f>IFERROR(AVERAGEIFS(Table1[Final Score],Table1[Month],Table1[[#This Row],[Month]],Table1[Year],Table1[[#This Row],[Year]],Table1[Mechanic Name],Table1[[#This Row],[Mechanic Name]]),"")</f>
        <v/>
      </c>
    </row>
    <row r="530" spans="3:12" hidden="1" x14ac:dyDescent="0.35">
      <c r="C530" s="80"/>
      <c r="K530" s="81">
        <f>SUM(Table1[[#This Row],[Technical Knowledge]:[Repeat job nahin aana]])/6</f>
        <v>0</v>
      </c>
      <c r="L530" s="79" t="str">
        <f>IFERROR(AVERAGEIFS(Table1[Final Score],Table1[Month],Table1[[#This Row],[Month]],Table1[Year],Table1[[#This Row],[Year]],Table1[Mechanic Name],Table1[[#This Row],[Mechanic Name]]),"")</f>
        <v/>
      </c>
    </row>
    <row r="531" spans="3:12" hidden="1" x14ac:dyDescent="0.35">
      <c r="C531" s="80"/>
      <c r="K531" s="81">
        <f>SUM(Table1[[#This Row],[Technical Knowledge]:[Repeat job nahin aana]])/6</f>
        <v>0</v>
      </c>
      <c r="L531" s="79" t="str">
        <f>IFERROR(AVERAGEIFS(Table1[Final Score],Table1[Month],Table1[[#This Row],[Month]],Table1[Year],Table1[[#This Row],[Year]],Table1[Mechanic Name],Table1[[#This Row],[Mechanic Name]]),"")</f>
        <v/>
      </c>
    </row>
    <row r="532" spans="3:12" hidden="1" x14ac:dyDescent="0.35">
      <c r="C532" s="80"/>
      <c r="K532" s="81">
        <f>SUM(Table1[[#This Row],[Technical Knowledge]:[Repeat job nahin aana]])/6</f>
        <v>0</v>
      </c>
      <c r="L532" s="79" t="str">
        <f>IFERROR(AVERAGEIFS(Table1[Final Score],Table1[Month],Table1[[#This Row],[Month]],Table1[Year],Table1[[#This Row],[Year]],Table1[Mechanic Name],Table1[[#This Row],[Mechanic Name]]),"")</f>
        <v/>
      </c>
    </row>
    <row r="533" spans="3:12" hidden="1" x14ac:dyDescent="0.35">
      <c r="C533" s="80"/>
      <c r="K533" s="81">
        <f>SUM(Table1[[#This Row],[Technical Knowledge]:[Repeat job nahin aana]])/6</f>
        <v>0</v>
      </c>
      <c r="L533" s="79" t="str">
        <f>IFERROR(AVERAGEIFS(Table1[Final Score],Table1[Month],Table1[[#This Row],[Month]],Table1[Year],Table1[[#This Row],[Year]],Table1[Mechanic Name],Table1[[#This Row],[Mechanic Name]]),"")</f>
        <v/>
      </c>
    </row>
    <row r="534" spans="3:12" hidden="1" x14ac:dyDescent="0.35">
      <c r="C534" s="80"/>
      <c r="K534" s="81">
        <f>SUM(Table1[[#This Row],[Technical Knowledge]:[Repeat job nahin aana]])/6</f>
        <v>0</v>
      </c>
      <c r="L534" s="79" t="str">
        <f>IFERROR(AVERAGEIFS(Table1[Final Score],Table1[Month],Table1[[#This Row],[Month]],Table1[Year],Table1[[#This Row],[Year]],Table1[Mechanic Name],Table1[[#This Row],[Mechanic Name]]),"")</f>
        <v/>
      </c>
    </row>
    <row r="535" spans="3:12" hidden="1" x14ac:dyDescent="0.35">
      <c r="C535" s="80"/>
      <c r="K535" s="81">
        <f>SUM(Table1[[#This Row],[Technical Knowledge]:[Repeat job nahin aana]])/6</f>
        <v>0</v>
      </c>
      <c r="L535" s="79" t="str">
        <f>IFERROR(AVERAGEIFS(Table1[Final Score],Table1[Month],Table1[[#This Row],[Month]],Table1[Year],Table1[[#This Row],[Year]],Table1[Mechanic Name],Table1[[#This Row],[Mechanic Name]]),"")</f>
        <v/>
      </c>
    </row>
    <row r="536" spans="3:12" hidden="1" x14ac:dyDescent="0.35">
      <c r="C536" s="80"/>
      <c r="K536" s="81">
        <f>SUM(Table1[[#This Row],[Technical Knowledge]:[Repeat job nahin aana]])/6</f>
        <v>0</v>
      </c>
      <c r="L536" s="79" t="str">
        <f>IFERROR(AVERAGEIFS(Table1[Final Score],Table1[Month],Table1[[#This Row],[Month]],Table1[Year],Table1[[#This Row],[Year]],Table1[Mechanic Name],Table1[[#This Row],[Mechanic Name]]),"")</f>
        <v/>
      </c>
    </row>
    <row r="537" spans="3:12" hidden="1" x14ac:dyDescent="0.35">
      <c r="C537" s="80"/>
      <c r="K537" s="81">
        <f>SUM(Table1[[#This Row],[Technical Knowledge]:[Repeat job nahin aana]])/6</f>
        <v>0</v>
      </c>
      <c r="L537" s="79" t="str">
        <f>IFERROR(AVERAGEIFS(Table1[Final Score],Table1[Month],Table1[[#This Row],[Month]],Table1[Year],Table1[[#This Row],[Year]],Table1[Mechanic Name],Table1[[#This Row],[Mechanic Name]]),"")</f>
        <v/>
      </c>
    </row>
    <row r="538" spans="3:12" hidden="1" x14ac:dyDescent="0.35">
      <c r="C538" s="80"/>
      <c r="K538" s="81">
        <f>SUM(Table1[[#This Row],[Technical Knowledge]:[Repeat job nahin aana]])/6</f>
        <v>0</v>
      </c>
      <c r="L538" s="79" t="str">
        <f>IFERROR(AVERAGEIFS(Table1[Final Score],Table1[Month],Table1[[#This Row],[Month]],Table1[Year],Table1[[#This Row],[Year]],Table1[Mechanic Name],Table1[[#This Row],[Mechanic Name]]),"")</f>
        <v/>
      </c>
    </row>
    <row r="539" spans="3:12" hidden="1" x14ac:dyDescent="0.35">
      <c r="C539" s="80"/>
      <c r="K539" s="81">
        <f>SUM(Table1[[#This Row],[Technical Knowledge]:[Repeat job nahin aana]])/6</f>
        <v>0</v>
      </c>
      <c r="L539" s="79" t="str">
        <f>IFERROR(AVERAGEIFS(Table1[Final Score],Table1[Month],Table1[[#This Row],[Month]],Table1[Year],Table1[[#This Row],[Year]],Table1[Mechanic Name],Table1[[#This Row],[Mechanic Name]]),"")</f>
        <v/>
      </c>
    </row>
    <row r="540" spans="3:12" hidden="1" x14ac:dyDescent="0.35">
      <c r="C540" s="80"/>
      <c r="K540" s="81">
        <f>SUM(Table1[[#This Row],[Technical Knowledge]:[Repeat job nahin aana]])/6</f>
        <v>0</v>
      </c>
      <c r="L540" s="79" t="str">
        <f>IFERROR(AVERAGEIFS(Table1[Final Score],Table1[Month],Table1[[#This Row],[Month]],Table1[Year],Table1[[#This Row],[Year]],Table1[Mechanic Name],Table1[[#This Row],[Mechanic Name]]),"")</f>
        <v/>
      </c>
    </row>
    <row r="541" spans="3:12" hidden="1" x14ac:dyDescent="0.35">
      <c r="C541" s="80"/>
      <c r="K541" s="81">
        <f>SUM(Table1[[#This Row],[Technical Knowledge]:[Repeat job nahin aana]])/6</f>
        <v>0</v>
      </c>
      <c r="L541" s="79" t="str">
        <f>IFERROR(AVERAGEIFS(Table1[Final Score],Table1[Month],Table1[[#This Row],[Month]],Table1[Year],Table1[[#This Row],[Year]],Table1[Mechanic Name],Table1[[#This Row],[Mechanic Name]]),"")</f>
        <v/>
      </c>
    </row>
    <row r="542" spans="3:12" hidden="1" x14ac:dyDescent="0.35">
      <c r="C542" s="80"/>
      <c r="K542" s="81">
        <f>SUM(Table1[[#This Row],[Technical Knowledge]:[Repeat job nahin aana]])/6</f>
        <v>0</v>
      </c>
      <c r="L542" s="79" t="str">
        <f>IFERROR(AVERAGEIFS(Table1[Final Score],Table1[Month],Table1[[#This Row],[Month]],Table1[Year],Table1[[#This Row],[Year]],Table1[Mechanic Name],Table1[[#This Row],[Mechanic Name]]),"")</f>
        <v/>
      </c>
    </row>
    <row r="543" spans="3:12" hidden="1" x14ac:dyDescent="0.35">
      <c r="C543" s="80"/>
      <c r="K543" s="81">
        <f>SUM(Table1[[#This Row],[Technical Knowledge]:[Repeat job nahin aana]])/6</f>
        <v>0</v>
      </c>
      <c r="L543" s="79" t="str">
        <f>IFERROR(AVERAGEIFS(Table1[Final Score],Table1[Month],Table1[[#This Row],[Month]],Table1[Year],Table1[[#This Row],[Year]],Table1[Mechanic Name],Table1[[#This Row],[Mechanic Name]]),"")</f>
        <v/>
      </c>
    </row>
    <row r="544" spans="3:12" hidden="1" x14ac:dyDescent="0.35">
      <c r="C544" s="80"/>
      <c r="K544" s="81">
        <f>SUM(Table1[[#This Row],[Technical Knowledge]:[Repeat job nahin aana]])/6</f>
        <v>0</v>
      </c>
      <c r="L544" s="79" t="str">
        <f>IFERROR(AVERAGEIFS(Table1[Final Score],Table1[Month],Table1[[#This Row],[Month]],Table1[Year],Table1[[#This Row],[Year]],Table1[Mechanic Name],Table1[[#This Row],[Mechanic Name]]),"")</f>
        <v/>
      </c>
    </row>
    <row r="545" spans="3:12" hidden="1" x14ac:dyDescent="0.35">
      <c r="C545" s="80"/>
      <c r="K545" s="81">
        <f>SUM(Table1[[#This Row],[Technical Knowledge]:[Repeat job nahin aana]])/6</f>
        <v>0</v>
      </c>
      <c r="L545" s="79" t="str">
        <f>IFERROR(AVERAGEIFS(Table1[Final Score],Table1[Month],Table1[[#This Row],[Month]],Table1[Year],Table1[[#This Row],[Year]],Table1[Mechanic Name],Table1[[#This Row],[Mechanic Name]]),"")</f>
        <v/>
      </c>
    </row>
    <row r="546" spans="3:12" hidden="1" x14ac:dyDescent="0.35">
      <c r="C546" s="80"/>
      <c r="K546" s="81">
        <f>SUM(Table1[[#This Row],[Technical Knowledge]:[Repeat job nahin aana]])/6</f>
        <v>0</v>
      </c>
      <c r="L546" s="79" t="str">
        <f>IFERROR(AVERAGEIFS(Table1[Final Score],Table1[Month],Table1[[#This Row],[Month]],Table1[Year],Table1[[#This Row],[Year]],Table1[Mechanic Name],Table1[[#This Row],[Mechanic Name]]),"")</f>
        <v/>
      </c>
    </row>
    <row r="547" spans="3:12" hidden="1" x14ac:dyDescent="0.35">
      <c r="C547" s="80"/>
      <c r="K547" s="81">
        <f>SUM(Table1[[#This Row],[Technical Knowledge]:[Repeat job nahin aana]])/6</f>
        <v>0</v>
      </c>
      <c r="L547" s="79" t="str">
        <f>IFERROR(AVERAGEIFS(Table1[Final Score],Table1[Month],Table1[[#This Row],[Month]],Table1[Year],Table1[[#This Row],[Year]],Table1[Mechanic Name],Table1[[#This Row],[Mechanic Name]]),"")</f>
        <v/>
      </c>
    </row>
    <row r="548" spans="3:12" hidden="1" x14ac:dyDescent="0.35">
      <c r="C548" s="80"/>
      <c r="K548" s="81">
        <f>SUM(Table1[[#This Row],[Technical Knowledge]:[Repeat job nahin aana]])/6</f>
        <v>0</v>
      </c>
      <c r="L548" s="79" t="str">
        <f>IFERROR(AVERAGEIFS(Table1[Final Score],Table1[Month],Table1[[#This Row],[Month]],Table1[Year],Table1[[#This Row],[Year]],Table1[Mechanic Name],Table1[[#This Row],[Mechanic Name]]),"")</f>
        <v/>
      </c>
    </row>
    <row r="549" spans="3:12" hidden="1" x14ac:dyDescent="0.35">
      <c r="C549" s="80"/>
      <c r="K549" s="81">
        <f>SUM(Table1[[#This Row],[Technical Knowledge]:[Repeat job nahin aana]])/6</f>
        <v>0</v>
      </c>
      <c r="L549" s="79" t="str">
        <f>IFERROR(AVERAGEIFS(Table1[Final Score],Table1[Month],Table1[[#This Row],[Month]],Table1[Year],Table1[[#This Row],[Year]],Table1[Mechanic Name],Table1[[#This Row],[Mechanic Name]]),"")</f>
        <v/>
      </c>
    </row>
    <row r="550" spans="3:12" hidden="1" x14ac:dyDescent="0.35">
      <c r="C550" s="80"/>
      <c r="K550" s="81">
        <f>SUM(Table1[[#This Row],[Technical Knowledge]:[Repeat job nahin aana]])/6</f>
        <v>0</v>
      </c>
      <c r="L550" s="79" t="str">
        <f>IFERROR(AVERAGEIFS(Table1[Final Score],Table1[Month],Table1[[#This Row],[Month]],Table1[Year],Table1[[#This Row],[Year]],Table1[Mechanic Name],Table1[[#This Row],[Mechanic Name]]),"")</f>
        <v/>
      </c>
    </row>
    <row r="551" spans="3:12" hidden="1" x14ac:dyDescent="0.35">
      <c r="C551" s="80"/>
      <c r="K551" s="81">
        <f>SUM(Table1[[#This Row],[Technical Knowledge]:[Repeat job nahin aana]])/6</f>
        <v>0</v>
      </c>
      <c r="L551" s="79" t="str">
        <f>IFERROR(AVERAGEIFS(Table1[Final Score],Table1[Month],Table1[[#This Row],[Month]],Table1[Year],Table1[[#This Row],[Year]],Table1[Mechanic Name],Table1[[#This Row],[Mechanic Name]]),"")</f>
        <v/>
      </c>
    </row>
    <row r="552" spans="3:12" hidden="1" x14ac:dyDescent="0.35">
      <c r="C552" s="80"/>
      <c r="K552" s="81">
        <f>SUM(Table1[[#This Row],[Technical Knowledge]:[Repeat job nahin aana]])/6</f>
        <v>0</v>
      </c>
      <c r="L552" s="79" t="str">
        <f>IFERROR(AVERAGEIFS(Table1[Final Score],Table1[Month],Table1[[#This Row],[Month]],Table1[Year],Table1[[#This Row],[Year]],Table1[Mechanic Name],Table1[[#This Row],[Mechanic Name]]),"")</f>
        <v/>
      </c>
    </row>
    <row r="553" spans="3:12" hidden="1" x14ac:dyDescent="0.35">
      <c r="C553" s="80"/>
      <c r="K553" s="81">
        <f>SUM(Table1[[#This Row],[Technical Knowledge]:[Repeat job nahin aana]])/6</f>
        <v>0</v>
      </c>
      <c r="L553" s="79" t="str">
        <f>IFERROR(AVERAGEIFS(Table1[Final Score],Table1[Month],Table1[[#This Row],[Month]],Table1[Year],Table1[[#This Row],[Year]],Table1[Mechanic Name],Table1[[#This Row],[Mechanic Name]]),"")</f>
        <v/>
      </c>
    </row>
    <row r="554" spans="3:12" hidden="1" x14ac:dyDescent="0.35">
      <c r="C554" s="80"/>
      <c r="K554" s="81">
        <f>SUM(Table1[[#This Row],[Technical Knowledge]:[Repeat job nahin aana]])/6</f>
        <v>0</v>
      </c>
      <c r="L554" s="79" t="str">
        <f>IFERROR(AVERAGEIFS(Table1[Final Score],Table1[Month],Table1[[#This Row],[Month]],Table1[Year],Table1[[#This Row],[Year]],Table1[Mechanic Name],Table1[[#This Row],[Mechanic Name]]),"")</f>
        <v/>
      </c>
    </row>
    <row r="555" spans="3:12" hidden="1" x14ac:dyDescent="0.35">
      <c r="C555" s="80"/>
      <c r="K555" s="81">
        <f>SUM(Table1[[#This Row],[Technical Knowledge]:[Repeat job nahin aana]])/6</f>
        <v>0</v>
      </c>
      <c r="L555" s="79" t="str">
        <f>IFERROR(AVERAGEIFS(Table1[Final Score],Table1[Month],Table1[[#This Row],[Month]],Table1[Year],Table1[[#This Row],[Year]],Table1[Mechanic Name],Table1[[#This Row],[Mechanic Name]]),"")</f>
        <v/>
      </c>
    </row>
    <row r="556" spans="3:12" hidden="1" x14ac:dyDescent="0.35">
      <c r="C556" s="80"/>
      <c r="K556" s="81">
        <f>SUM(Table1[[#This Row],[Technical Knowledge]:[Repeat job nahin aana]])/6</f>
        <v>0</v>
      </c>
      <c r="L556" s="79" t="str">
        <f>IFERROR(AVERAGEIFS(Table1[Final Score],Table1[Month],Table1[[#This Row],[Month]],Table1[Year],Table1[[#This Row],[Year]],Table1[Mechanic Name],Table1[[#This Row],[Mechanic Name]]),"")</f>
        <v/>
      </c>
    </row>
    <row r="557" spans="3:12" hidden="1" x14ac:dyDescent="0.35">
      <c r="C557" s="80"/>
      <c r="K557" s="81">
        <f>SUM(Table1[[#This Row],[Technical Knowledge]:[Repeat job nahin aana]])/6</f>
        <v>0</v>
      </c>
      <c r="L557" s="79" t="str">
        <f>IFERROR(AVERAGEIFS(Table1[Final Score],Table1[Month],Table1[[#This Row],[Month]],Table1[Year],Table1[[#This Row],[Year]],Table1[Mechanic Name],Table1[[#This Row],[Mechanic Name]]),"")</f>
        <v/>
      </c>
    </row>
    <row r="558" spans="3:12" hidden="1" x14ac:dyDescent="0.35">
      <c r="C558" s="80"/>
      <c r="K558" s="81">
        <f>SUM(Table1[[#This Row],[Technical Knowledge]:[Repeat job nahin aana]])/6</f>
        <v>0</v>
      </c>
      <c r="L558" s="79" t="str">
        <f>IFERROR(AVERAGEIFS(Table1[Final Score],Table1[Month],Table1[[#This Row],[Month]],Table1[Year],Table1[[#This Row],[Year]],Table1[Mechanic Name],Table1[[#This Row],[Mechanic Name]]),"")</f>
        <v/>
      </c>
    </row>
    <row r="559" spans="3:12" hidden="1" x14ac:dyDescent="0.35">
      <c r="C559" s="80"/>
      <c r="K559" s="81">
        <f>SUM(Table1[[#This Row],[Technical Knowledge]:[Repeat job nahin aana]])/6</f>
        <v>0</v>
      </c>
      <c r="L559" s="79" t="str">
        <f>IFERROR(AVERAGEIFS(Table1[Final Score],Table1[Month],Table1[[#This Row],[Month]],Table1[Year],Table1[[#This Row],[Year]],Table1[Mechanic Name],Table1[[#This Row],[Mechanic Name]]),"")</f>
        <v/>
      </c>
    </row>
    <row r="560" spans="3:12" hidden="1" x14ac:dyDescent="0.35">
      <c r="C560" s="80"/>
      <c r="K560" s="81">
        <f>SUM(Table1[[#This Row],[Technical Knowledge]:[Repeat job nahin aana]])/6</f>
        <v>0</v>
      </c>
      <c r="L560" s="79" t="str">
        <f>IFERROR(AVERAGEIFS(Table1[Final Score],Table1[Month],Table1[[#This Row],[Month]],Table1[Year],Table1[[#This Row],[Year]],Table1[Mechanic Name],Table1[[#This Row],[Mechanic Name]]),"")</f>
        <v/>
      </c>
    </row>
    <row r="561" spans="3:12" hidden="1" x14ac:dyDescent="0.35">
      <c r="C561" s="80"/>
      <c r="K561" s="81">
        <f>SUM(Table1[[#This Row],[Technical Knowledge]:[Repeat job nahin aana]])/6</f>
        <v>0</v>
      </c>
      <c r="L561" s="79" t="str">
        <f>IFERROR(AVERAGEIFS(Table1[Final Score],Table1[Month],Table1[[#This Row],[Month]],Table1[Year],Table1[[#This Row],[Year]],Table1[Mechanic Name],Table1[[#This Row],[Mechanic Name]]),"")</f>
        <v/>
      </c>
    </row>
    <row r="562" spans="3:12" hidden="1" x14ac:dyDescent="0.35">
      <c r="C562" s="80"/>
      <c r="K562" s="81">
        <f>SUM(Table1[[#This Row],[Technical Knowledge]:[Repeat job nahin aana]])/6</f>
        <v>0</v>
      </c>
      <c r="L562" s="79" t="str">
        <f>IFERROR(AVERAGEIFS(Table1[Final Score],Table1[Month],Table1[[#This Row],[Month]],Table1[Year],Table1[[#This Row],[Year]],Table1[Mechanic Name],Table1[[#This Row],[Mechanic Name]]),"")</f>
        <v/>
      </c>
    </row>
    <row r="563" spans="3:12" hidden="1" x14ac:dyDescent="0.35">
      <c r="C563" s="80"/>
      <c r="K563" s="81">
        <f>SUM(Table1[[#This Row],[Technical Knowledge]:[Repeat job nahin aana]])/6</f>
        <v>0</v>
      </c>
      <c r="L563" s="79" t="str">
        <f>IFERROR(AVERAGEIFS(Table1[Final Score],Table1[Month],Table1[[#This Row],[Month]],Table1[Year],Table1[[#This Row],[Year]],Table1[Mechanic Name],Table1[[#This Row],[Mechanic Name]]),"")</f>
        <v/>
      </c>
    </row>
    <row r="564" spans="3:12" hidden="1" x14ac:dyDescent="0.35">
      <c r="C564" s="80"/>
      <c r="K564" s="81">
        <f>SUM(Table1[[#This Row],[Technical Knowledge]:[Repeat job nahin aana]])/6</f>
        <v>0</v>
      </c>
      <c r="L564" s="79" t="str">
        <f>IFERROR(AVERAGEIFS(Table1[Final Score],Table1[Month],Table1[[#This Row],[Month]],Table1[Year],Table1[[#This Row],[Year]],Table1[Mechanic Name],Table1[[#This Row],[Mechanic Name]]),"")</f>
        <v/>
      </c>
    </row>
    <row r="565" spans="3:12" hidden="1" x14ac:dyDescent="0.35">
      <c r="C565" s="80"/>
      <c r="K565" s="81">
        <f>SUM(Table1[[#This Row],[Technical Knowledge]:[Repeat job nahin aana]])/6</f>
        <v>0</v>
      </c>
      <c r="L565" s="79" t="str">
        <f>IFERROR(AVERAGEIFS(Table1[Final Score],Table1[Month],Table1[[#This Row],[Month]],Table1[Year],Table1[[#This Row],[Year]],Table1[Mechanic Name],Table1[[#This Row],[Mechanic Name]]),"")</f>
        <v/>
      </c>
    </row>
    <row r="566" spans="3:12" hidden="1" x14ac:dyDescent="0.35">
      <c r="C566" s="80"/>
      <c r="K566" s="81">
        <f>SUM(Table1[[#This Row],[Technical Knowledge]:[Repeat job nahin aana]])/6</f>
        <v>0</v>
      </c>
      <c r="L566" s="79" t="str">
        <f>IFERROR(AVERAGEIFS(Table1[Final Score],Table1[Month],Table1[[#This Row],[Month]],Table1[Year],Table1[[#This Row],[Year]],Table1[Mechanic Name],Table1[[#This Row],[Mechanic Name]]),"")</f>
        <v/>
      </c>
    </row>
    <row r="567" spans="3:12" hidden="1" x14ac:dyDescent="0.35">
      <c r="C567" s="80"/>
      <c r="K567" s="81">
        <f>SUM(Table1[[#This Row],[Technical Knowledge]:[Repeat job nahin aana]])/6</f>
        <v>0</v>
      </c>
      <c r="L567" s="79" t="str">
        <f>IFERROR(AVERAGEIFS(Table1[Final Score],Table1[Month],Table1[[#This Row],[Month]],Table1[Year],Table1[[#This Row],[Year]],Table1[Mechanic Name],Table1[[#This Row],[Mechanic Name]]),"")</f>
        <v/>
      </c>
    </row>
    <row r="568" spans="3:12" hidden="1" x14ac:dyDescent="0.35">
      <c r="C568" s="80"/>
      <c r="K568" s="81">
        <f>SUM(Table1[[#This Row],[Technical Knowledge]:[Repeat job nahin aana]])/6</f>
        <v>0</v>
      </c>
      <c r="L568" s="79" t="str">
        <f>IFERROR(AVERAGEIFS(Table1[Final Score],Table1[Month],Table1[[#This Row],[Month]],Table1[Year],Table1[[#This Row],[Year]],Table1[Mechanic Name],Table1[[#This Row],[Mechanic Name]]),"")</f>
        <v/>
      </c>
    </row>
    <row r="569" spans="3:12" hidden="1" x14ac:dyDescent="0.35">
      <c r="C569" s="80"/>
      <c r="K569" s="81">
        <f>SUM(Table1[[#This Row],[Technical Knowledge]:[Repeat job nahin aana]])/6</f>
        <v>0</v>
      </c>
      <c r="L569" s="79" t="str">
        <f>IFERROR(AVERAGEIFS(Table1[Final Score],Table1[Month],Table1[[#This Row],[Month]],Table1[Year],Table1[[#This Row],[Year]],Table1[Mechanic Name],Table1[[#This Row],[Mechanic Name]]),"")</f>
        <v/>
      </c>
    </row>
    <row r="570" spans="3:12" hidden="1" x14ac:dyDescent="0.35">
      <c r="C570" s="80"/>
      <c r="K570" s="81">
        <f>SUM(Table1[[#This Row],[Technical Knowledge]:[Repeat job nahin aana]])/6</f>
        <v>0</v>
      </c>
      <c r="L570" s="79" t="str">
        <f>IFERROR(AVERAGEIFS(Table1[Final Score],Table1[Month],Table1[[#This Row],[Month]],Table1[Year],Table1[[#This Row],[Year]],Table1[Mechanic Name],Table1[[#This Row],[Mechanic Name]]),"")</f>
        <v/>
      </c>
    </row>
    <row r="571" spans="3:12" hidden="1" x14ac:dyDescent="0.35">
      <c r="C571" s="80"/>
      <c r="K571" s="81">
        <f>SUM(Table1[[#This Row],[Technical Knowledge]:[Repeat job nahin aana]])/6</f>
        <v>0</v>
      </c>
      <c r="L571" s="79" t="str">
        <f>IFERROR(AVERAGEIFS(Table1[Final Score],Table1[Month],Table1[[#This Row],[Month]],Table1[Year],Table1[[#This Row],[Year]],Table1[Mechanic Name],Table1[[#This Row],[Mechanic Name]]),"")</f>
        <v/>
      </c>
    </row>
    <row r="572" spans="3:12" hidden="1" x14ac:dyDescent="0.35">
      <c r="C572" s="80"/>
      <c r="K572" s="81">
        <f>SUM(Table1[[#This Row],[Technical Knowledge]:[Repeat job nahin aana]])/6</f>
        <v>0</v>
      </c>
      <c r="L572" s="79" t="str">
        <f>IFERROR(AVERAGEIFS(Table1[Final Score],Table1[Month],Table1[[#This Row],[Month]],Table1[Year],Table1[[#This Row],[Year]],Table1[Mechanic Name],Table1[[#This Row],[Mechanic Name]]),"")</f>
        <v/>
      </c>
    </row>
    <row r="573" spans="3:12" hidden="1" x14ac:dyDescent="0.35">
      <c r="C573" s="80"/>
      <c r="K573" s="81">
        <f>SUM(Table1[[#This Row],[Technical Knowledge]:[Repeat job nahin aana]])/6</f>
        <v>0</v>
      </c>
      <c r="L573" s="79" t="str">
        <f>IFERROR(AVERAGEIFS(Table1[Final Score],Table1[Month],Table1[[#This Row],[Month]],Table1[Year],Table1[[#This Row],[Year]],Table1[Mechanic Name],Table1[[#This Row],[Mechanic Name]]),"")</f>
        <v/>
      </c>
    </row>
    <row r="574" spans="3:12" hidden="1" x14ac:dyDescent="0.35">
      <c r="C574" s="80"/>
      <c r="K574" s="81">
        <f>SUM(Table1[[#This Row],[Technical Knowledge]:[Repeat job nahin aana]])/6</f>
        <v>0</v>
      </c>
      <c r="L574" s="79" t="str">
        <f>IFERROR(AVERAGEIFS(Table1[Final Score],Table1[Month],Table1[[#This Row],[Month]],Table1[Year],Table1[[#This Row],[Year]],Table1[Mechanic Name],Table1[[#This Row],[Mechanic Name]]),"")</f>
        <v/>
      </c>
    </row>
    <row r="575" spans="3:12" hidden="1" x14ac:dyDescent="0.35">
      <c r="C575" s="80"/>
      <c r="K575" s="81">
        <f>SUM(Table1[[#This Row],[Technical Knowledge]:[Repeat job nahin aana]])/6</f>
        <v>0</v>
      </c>
      <c r="L575" s="79" t="str">
        <f>IFERROR(AVERAGEIFS(Table1[Final Score],Table1[Month],Table1[[#This Row],[Month]],Table1[Year],Table1[[#This Row],[Year]],Table1[Mechanic Name],Table1[[#This Row],[Mechanic Name]]),"")</f>
        <v/>
      </c>
    </row>
    <row r="576" spans="3:12" hidden="1" x14ac:dyDescent="0.35">
      <c r="C576" s="80"/>
      <c r="K576" s="81">
        <f>SUM(Table1[[#This Row],[Technical Knowledge]:[Repeat job nahin aana]])/6</f>
        <v>0</v>
      </c>
      <c r="L576" s="79" t="str">
        <f>IFERROR(AVERAGEIFS(Table1[Final Score],Table1[Month],Table1[[#This Row],[Month]],Table1[Year],Table1[[#This Row],[Year]],Table1[Mechanic Name],Table1[[#This Row],[Mechanic Name]]),"")</f>
        <v/>
      </c>
    </row>
    <row r="577" spans="3:12" hidden="1" x14ac:dyDescent="0.35">
      <c r="C577" s="80"/>
      <c r="K577" s="81">
        <f>SUM(Table1[[#This Row],[Technical Knowledge]:[Repeat job nahin aana]])/6</f>
        <v>0</v>
      </c>
      <c r="L577" s="79" t="str">
        <f>IFERROR(AVERAGEIFS(Table1[Final Score],Table1[Month],Table1[[#This Row],[Month]],Table1[Year],Table1[[#This Row],[Year]],Table1[Mechanic Name],Table1[[#This Row],[Mechanic Name]]),"")</f>
        <v/>
      </c>
    </row>
    <row r="578" spans="3:12" hidden="1" x14ac:dyDescent="0.35">
      <c r="C578" s="80"/>
      <c r="K578" s="81">
        <f>SUM(Table1[[#This Row],[Technical Knowledge]:[Repeat job nahin aana]])/6</f>
        <v>0</v>
      </c>
      <c r="L578" s="79" t="str">
        <f>IFERROR(AVERAGEIFS(Table1[Final Score],Table1[Month],Table1[[#This Row],[Month]],Table1[Year],Table1[[#This Row],[Year]],Table1[Mechanic Name],Table1[[#This Row],[Mechanic Name]]),"")</f>
        <v/>
      </c>
    </row>
    <row r="579" spans="3:12" hidden="1" x14ac:dyDescent="0.35">
      <c r="C579" s="80"/>
      <c r="K579" s="81">
        <f>SUM(Table1[[#This Row],[Technical Knowledge]:[Repeat job nahin aana]])/6</f>
        <v>0</v>
      </c>
      <c r="L579" s="79" t="str">
        <f>IFERROR(AVERAGEIFS(Table1[Final Score],Table1[Month],Table1[[#This Row],[Month]],Table1[Year],Table1[[#This Row],[Year]],Table1[Mechanic Name],Table1[[#This Row],[Mechanic Name]]),"")</f>
        <v/>
      </c>
    </row>
    <row r="580" spans="3:12" hidden="1" x14ac:dyDescent="0.35">
      <c r="C580" s="80"/>
      <c r="K580" s="81">
        <f>SUM(Table1[[#This Row],[Technical Knowledge]:[Repeat job nahin aana]])/6</f>
        <v>0</v>
      </c>
      <c r="L580" s="79" t="str">
        <f>IFERROR(AVERAGEIFS(Table1[Final Score],Table1[Month],Table1[[#This Row],[Month]],Table1[Year],Table1[[#This Row],[Year]],Table1[Mechanic Name],Table1[[#This Row],[Mechanic Name]]),"")</f>
        <v/>
      </c>
    </row>
    <row r="581" spans="3:12" hidden="1" x14ac:dyDescent="0.35">
      <c r="C581" s="80"/>
      <c r="K581" s="81">
        <f>SUM(Table1[[#This Row],[Technical Knowledge]:[Repeat job nahin aana]])/6</f>
        <v>0</v>
      </c>
      <c r="L581" s="79" t="str">
        <f>IFERROR(AVERAGEIFS(Table1[Final Score],Table1[Month],Table1[[#This Row],[Month]],Table1[Year],Table1[[#This Row],[Year]],Table1[Mechanic Name],Table1[[#This Row],[Mechanic Name]]),"")</f>
        <v/>
      </c>
    </row>
    <row r="582" spans="3:12" hidden="1" x14ac:dyDescent="0.35">
      <c r="C582" s="80"/>
      <c r="K582" s="81">
        <f>SUM(Table1[[#This Row],[Technical Knowledge]:[Repeat job nahin aana]])/6</f>
        <v>0</v>
      </c>
      <c r="L582" s="79" t="str">
        <f>IFERROR(AVERAGEIFS(Table1[Final Score],Table1[Month],Table1[[#This Row],[Month]],Table1[Year],Table1[[#This Row],[Year]],Table1[Mechanic Name],Table1[[#This Row],[Mechanic Name]]),"")</f>
        <v/>
      </c>
    </row>
    <row r="583" spans="3:12" hidden="1" x14ac:dyDescent="0.35">
      <c r="C583" s="80"/>
      <c r="K583" s="81">
        <f>SUM(Table1[[#This Row],[Technical Knowledge]:[Repeat job nahin aana]])/6</f>
        <v>0</v>
      </c>
      <c r="L583" s="79" t="str">
        <f>IFERROR(AVERAGEIFS(Table1[Final Score],Table1[Month],Table1[[#This Row],[Month]],Table1[Year],Table1[[#This Row],[Year]],Table1[Mechanic Name],Table1[[#This Row],[Mechanic Name]]),"")</f>
        <v/>
      </c>
    </row>
    <row r="584" spans="3:12" hidden="1" x14ac:dyDescent="0.35">
      <c r="C584" s="80"/>
      <c r="K584" s="81">
        <f>SUM(Table1[[#This Row],[Technical Knowledge]:[Repeat job nahin aana]])/6</f>
        <v>0</v>
      </c>
      <c r="L584" s="79" t="str">
        <f>IFERROR(AVERAGEIFS(Table1[Final Score],Table1[Month],Table1[[#This Row],[Month]],Table1[Year],Table1[[#This Row],[Year]],Table1[Mechanic Name],Table1[[#This Row],[Mechanic Name]]),"")</f>
        <v/>
      </c>
    </row>
    <row r="585" spans="3:12" hidden="1" x14ac:dyDescent="0.35">
      <c r="C585" s="80"/>
      <c r="K585" s="81">
        <f>SUM(Table1[[#This Row],[Technical Knowledge]:[Repeat job nahin aana]])/6</f>
        <v>0</v>
      </c>
      <c r="L585" s="79" t="str">
        <f>IFERROR(AVERAGEIFS(Table1[Final Score],Table1[Month],Table1[[#This Row],[Month]],Table1[Year],Table1[[#This Row],[Year]],Table1[Mechanic Name],Table1[[#This Row],[Mechanic Name]]),"")</f>
        <v/>
      </c>
    </row>
    <row r="586" spans="3:12" hidden="1" x14ac:dyDescent="0.35">
      <c r="C586" s="80"/>
      <c r="K586" s="81">
        <f>SUM(Table1[[#This Row],[Technical Knowledge]:[Repeat job nahin aana]])/6</f>
        <v>0</v>
      </c>
      <c r="L586" s="79" t="str">
        <f>IFERROR(AVERAGEIFS(Table1[Final Score],Table1[Month],Table1[[#This Row],[Month]],Table1[Year],Table1[[#This Row],[Year]],Table1[Mechanic Name],Table1[[#This Row],[Mechanic Name]]),"")</f>
        <v/>
      </c>
    </row>
    <row r="587" spans="3:12" hidden="1" x14ac:dyDescent="0.35">
      <c r="C587" s="80"/>
      <c r="K587" s="81">
        <f>SUM(Table1[[#This Row],[Technical Knowledge]:[Repeat job nahin aana]])/6</f>
        <v>0</v>
      </c>
      <c r="L587" s="79" t="str">
        <f>IFERROR(AVERAGEIFS(Table1[Final Score],Table1[Month],Table1[[#This Row],[Month]],Table1[Year],Table1[[#This Row],[Year]],Table1[Mechanic Name],Table1[[#This Row],[Mechanic Name]]),"")</f>
        <v/>
      </c>
    </row>
    <row r="588" spans="3:12" hidden="1" x14ac:dyDescent="0.35">
      <c r="C588" s="80"/>
      <c r="K588" s="81">
        <f>SUM(Table1[[#This Row],[Technical Knowledge]:[Repeat job nahin aana]])/6</f>
        <v>0</v>
      </c>
      <c r="L588" s="79" t="str">
        <f>IFERROR(AVERAGEIFS(Table1[Final Score],Table1[Month],Table1[[#This Row],[Month]],Table1[Year],Table1[[#This Row],[Year]],Table1[Mechanic Name],Table1[[#This Row],[Mechanic Name]]),"")</f>
        <v/>
      </c>
    </row>
    <row r="589" spans="3:12" hidden="1" x14ac:dyDescent="0.35">
      <c r="C589" s="80"/>
      <c r="K589" s="81">
        <f>SUM(Table1[[#This Row],[Technical Knowledge]:[Repeat job nahin aana]])/6</f>
        <v>0</v>
      </c>
      <c r="L589" s="79" t="str">
        <f>IFERROR(AVERAGEIFS(Table1[Final Score],Table1[Month],Table1[[#This Row],[Month]],Table1[Year],Table1[[#This Row],[Year]],Table1[Mechanic Name],Table1[[#This Row],[Mechanic Name]]),"")</f>
        <v/>
      </c>
    </row>
    <row r="590" spans="3:12" hidden="1" x14ac:dyDescent="0.35">
      <c r="C590" s="80"/>
      <c r="K590" s="81">
        <f>SUM(Table1[[#This Row],[Technical Knowledge]:[Repeat job nahin aana]])/6</f>
        <v>0</v>
      </c>
      <c r="L590" s="79" t="str">
        <f>IFERROR(AVERAGEIFS(Table1[Final Score],Table1[Month],Table1[[#This Row],[Month]],Table1[Year],Table1[[#This Row],[Year]],Table1[Mechanic Name],Table1[[#This Row],[Mechanic Name]]),"")</f>
        <v/>
      </c>
    </row>
    <row r="591" spans="3:12" hidden="1" x14ac:dyDescent="0.35">
      <c r="C591" s="80"/>
      <c r="K591" s="81">
        <f>SUM(Table1[[#This Row],[Technical Knowledge]:[Repeat job nahin aana]])/6</f>
        <v>0</v>
      </c>
      <c r="L591" s="79" t="str">
        <f>IFERROR(AVERAGEIFS(Table1[Final Score],Table1[Month],Table1[[#This Row],[Month]],Table1[Year],Table1[[#This Row],[Year]],Table1[Mechanic Name],Table1[[#This Row],[Mechanic Name]]),"")</f>
        <v/>
      </c>
    </row>
    <row r="592" spans="3:12" hidden="1" x14ac:dyDescent="0.35">
      <c r="C592" s="80"/>
      <c r="K592" s="81">
        <f>SUM(Table1[[#This Row],[Technical Knowledge]:[Repeat job nahin aana]])/6</f>
        <v>0</v>
      </c>
      <c r="L592" s="79" t="str">
        <f>IFERROR(AVERAGEIFS(Table1[Final Score],Table1[Month],Table1[[#This Row],[Month]],Table1[Year],Table1[[#This Row],[Year]],Table1[Mechanic Name],Table1[[#This Row],[Mechanic Name]]),"")</f>
        <v/>
      </c>
    </row>
    <row r="593" spans="3:12" hidden="1" x14ac:dyDescent="0.35">
      <c r="C593" s="80"/>
      <c r="K593" s="81">
        <f>SUM(Table1[[#This Row],[Technical Knowledge]:[Repeat job nahin aana]])/6</f>
        <v>0</v>
      </c>
      <c r="L593" s="79" t="str">
        <f>IFERROR(AVERAGEIFS(Table1[Final Score],Table1[Month],Table1[[#This Row],[Month]],Table1[Year],Table1[[#This Row],[Year]],Table1[Mechanic Name],Table1[[#This Row],[Mechanic Name]]),"")</f>
        <v/>
      </c>
    </row>
    <row r="594" spans="3:12" hidden="1" x14ac:dyDescent="0.35">
      <c r="C594" s="80"/>
      <c r="K594" s="81">
        <f>SUM(Table1[[#This Row],[Technical Knowledge]:[Repeat job nahin aana]])/6</f>
        <v>0</v>
      </c>
      <c r="L594" s="79" t="str">
        <f>IFERROR(AVERAGEIFS(Table1[Final Score],Table1[Month],Table1[[#This Row],[Month]],Table1[Year],Table1[[#This Row],[Year]],Table1[Mechanic Name],Table1[[#This Row],[Mechanic Name]]),"")</f>
        <v/>
      </c>
    </row>
    <row r="595" spans="3:12" hidden="1" x14ac:dyDescent="0.35">
      <c r="C595" s="80"/>
      <c r="K595" s="81">
        <f>SUM(Table1[[#This Row],[Technical Knowledge]:[Repeat job nahin aana]])/6</f>
        <v>0</v>
      </c>
      <c r="L595" s="79" t="str">
        <f>IFERROR(AVERAGEIFS(Table1[Final Score],Table1[Month],Table1[[#This Row],[Month]],Table1[Year],Table1[[#This Row],[Year]],Table1[Mechanic Name],Table1[[#This Row],[Mechanic Name]]),"")</f>
        <v/>
      </c>
    </row>
    <row r="596" spans="3:12" hidden="1" x14ac:dyDescent="0.35">
      <c r="C596" s="80"/>
      <c r="K596" s="81">
        <f>SUM(Table1[[#This Row],[Technical Knowledge]:[Repeat job nahin aana]])/6</f>
        <v>0</v>
      </c>
      <c r="L596" s="79" t="str">
        <f>IFERROR(AVERAGEIFS(Table1[Final Score],Table1[Month],Table1[[#This Row],[Month]],Table1[Year],Table1[[#This Row],[Year]],Table1[Mechanic Name],Table1[[#This Row],[Mechanic Name]]),"")</f>
        <v/>
      </c>
    </row>
    <row r="597" spans="3:12" hidden="1" x14ac:dyDescent="0.35">
      <c r="C597" s="80"/>
      <c r="K597" s="81">
        <f>SUM(Table1[[#This Row],[Technical Knowledge]:[Repeat job nahin aana]])/6</f>
        <v>0</v>
      </c>
      <c r="L597" s="79" t="str">
        <f>IFERROR(AVERAGEIFS(Table1[Final Score],Table1[Month],Table1[[#This Row],[Month]],Table1[Year],Table1[[#This Row],[Year]],Table1[Mechanic Name],Table1[[#This Row],[Mechanic Name]]),"")</f>
        <v/>
      </c>
    </row>
    <row r="598" spans="3:12" hidden="1" x14ac:dyDescent="0.35">
      <c r="C598" s="80"/>
      <c r="K598" s="81">
        <f>SUM(Table1[[#This Row],[Technical Knowledge]:[Repeat job nahin aana]])/6</f>
        <v>0</v>
      </c>
      <c r="L598" s="79" t="str">
        <f>IFERROR(AVERAGEIFS(Table1[Final Score],Table1[Month],Table1[[#This Row],[Month]],Table1[Year],Table1[[#This Row],[Year]],Table1[Mechanic Name],Table1[[#This Row],[Mechanic Name]]),"")</f>
        <v/>
      </c>
    </row>
    <row r="599" spans="3:12" hidden="1" x14ac:dyDescent="0.35">
      <c r="C599" s="80"/>
      <c r="K599" s="81">
        <f>SUM(Table1[[#This Row],[Technical Knowledge]:[Repeat job nahin aana]])/6</f>
        <v>0</v>
      </c>
      <c r="L599" s="79" t="str">
        <f>IFERROR(AVERAGEIFS(Table1[Final Score],Table1[Month],Table1[[#This Row],[Month]],Table1[Year],Table1[[#This Row],[Year]],Table1[Mechanic Name],Table1[[#This Row],[Mechanic Name]]),"")</f>
        <v/>
      </c>
    </row>
    <row r="600" spans="3:12" hidden="1" x14ac:dyDescent="0.35">
      <c r="C600" s="80"/>
      <c r="K600" s="81">
        <f>SUM(Table1[[#This Row],[Technical Knowledge]:[Repeat job nahin aana]])/6</f>
        <v>0</v>
      </c>
      <c r="L600" s="79" t="str">
        <f>IFERROR(AVERAGEIFS(Table1[Final Score],Table1[Month],Table1[[#This Row],[Month]],Table1[Year],Table1[[#This Row],[Year]],Table1[Mechanic Name],Table1[[#This Row],[Mechanic Name]]),"")</f>
        <v/>
      </c>
    </row>
    <row r="601" spans="3:12" hidden="1" x14ac:dyDescent="0.35">
      <c r="C601" s="80"/>
      <c r="K601" s="81">
        <f>SUM(Table1[[#This Row],[Technical Knowledge]:[Repeat job nahin aana]])/6</f>
        <v>0</v>
      </c>
      <c r="L601" s="79" t="str">
        <f>IFERROR(AVERAGEIFS(Table1[Final Score],Table1[Month],Table1[[#This Row],[Month]],Table1[Year],Table1[[#This Row],[Year]],Table1[Mechanic Name],Table1[[#This Row],[Mechanic Name]]),"")</f>
        <v/>
      </c>
    </row>
    <row r="602" spans="3:12" hidden="1" x14ac:dyDescent="0.35">
      <c r="C602" s="80"/>
      <c r="K602" s="81">
        <f>SUM(Table1[[#This Row],[Technical Knowledge]:[Repeat job nahin aana]])/6</f>
        <v>0</v>
      </c>
      <c r="L602" s="79" t="str">
        <f>IFERROR(AVERAGEIFS(Table1[Final Score],Table1[Month],Table1[[#This Row],[Month]],Table1[Year],Table1[[#This Row],[Year]],Table1[Mechanic Name],Table1[[#This Row],[Mechanic Name]]),"")</f>
        <v/>
      </c>
    </row>
    <row r="603" spans="3:12" hidden="1" x14ac:dyDescent="0.35">
      <c r="C603" s="80"/>
      <c r="K603" s="81">
        <f>SUM(Table1[[#This Row],[Technical Knowledge]:[Repeat job nahin aana]])/6</f>
        <v>0</v>
      </c>
      <c r="L603" s="79" t="str">
        <f>IFERROR(AVERAGEIFS(Table1[Final Score],Table1[Month],Table1[[#This Row],[Month]],Table1[Year],Table1[[#This Row],[Year]],Table1[Mechanic Name],Table1[[#This Row],[Mechanic Name]]),"")</f>
        <v/>
      </c>
    </row>
    <row r="604" spans="3:12" hidden="1" x14ac:dyDescent="0.35">
      <c r="C604" s="80"/>
      <c r="K604" s="81">
        <f>SUM(Table1[[#This Row],[Technical Knowledge]:[Repeat job nahin aana]])/6</f>
        <v>0</v>
      </c>
      <c r="L604" s="79" t="str">
        <f>IFERROR(AVERAGEIFS(Table1[Final Score],Table1[Month],Table1[[#This Row],[Month]],Table1[Year],Table1[[#This Row],[Year]],Table1[Mechanic Name],Table1[[#This Row],[Mechanic Name]]),"")</f>
        <v/>
      </c>
    </row>
    <row r="605" spans="3:12" hidden="1" x14ac:dyDescent="0.35">
      <c r="C605" s="80"/>
      <c r="K605" s="81">
        <f>SUM(Table1[[#This Row],[Technical Knowledge]:[Repeat job nahin aana]])/6</f>
        <v>0</v>
      </c>
      <c r="L605" s="79" t="str">
        <f>IFERROR(AVERAGEIFS(Table1[Final Score],Table1[Month],Table1[[#This Row],[Month]],Table1[Year],Table1[[#This Row],[Year]],Table1[Mechanic Name],Table1[[#This Row],[Mechanic Name]]),"")</f>
        <v/>
      </c>
    </row>
    <row r="606" spans="3:12" hidden="1" x14ac:dyDescent="0.35">
      <c r="C606" s="80"/>
      <c r="K606" s="81">
        <f>SUM(Table1[[#This Row],[Technical Knowledge]:[Repeat job nahin aana]])/6</f>
        <v>0</v>
      </c>
      <c r="L606" s="79" t="str">
        <f>IFERROR(AVERAGEIFS(Table1[Final Score],Table1[Month],Table1[[#This Row],[Month]],Table1[Year],Table1[[#This Row],[Year]],Table1[Mechanic Name],Table1[[#This Row],[Mechanic Name]]),"")</f>
        <v/>
      </c>
    </row>
    <row r="607" spans="3:12" hidden="1" x14ac:dyDescent="0.35">
      <c r="C607" s="80"/>
      <c r="K607" s="81">
        <f>SUM(Table1[[#This Row],[Technical Knowledge]:[Repeat job nahin aana]])/6</f>
        <v>0</v>
      </c>
      <c r="L607" s="79" t="str">
        <f>IFERROR(AVERAGEIFS(Table1[Final Score],Table1[Month],Table1[[#This Row],[Month]],Table1[Year],Table1[[#This Row],[Year]],Table1[Mechanic Name],Table1[[#This Row],[Mechanic Name]]),"")</f>
        <v/>
      </c>
    </row>
    <row r="608" spans="3:12" hidden="1" x14ac:dyDescent="0.35">
      <c r="C608" s="80"/>
      <c r="K608" s="81">
        <f>SUM(Table1[[#This Row],[Technical Knowledge]:[Repeat job nahin aana]])/6</f>
        <v>0</v>
      </c>
      <c r="L608" s="79" t="str">
        <f>IFERROR(AVERAGEIFS(Table1[Final Score],Table1[Month],Table1[[#This Row],[Month]],Table1[Year],Table1[[#This Row],[Year]],Table1[Mechanic Name],Table1[[#This Row],[Mechanic Name]]),"")</f>
        <v/>
      </c>
    </row>
    <row r="609" spans="3:12" hidden="1" x14ac:dyDescent="0.35">
      <c r="C609" s="80"/>
      <c r="K609" s="81">
        <f>SUM(Table1[[#This Row],[Technical Knowledge]:[Repeat job nahin aana]])/6</f>
        <v>0</v>
      </c>
      <c r="L609" s="79" t="str">
        <f>IFERROR(AVERAGEIFS(Table1[Final Score],Table1[Month],Table1[[#This Row],[Month]],Table1[Year],Table1[[#This Row],[Year]],Table1[Mechanic Name],Table1[[#This Row],[Mechanic Name]]),"")</f>
        <v/>
      </c>
    </row>
    <row r="610" spans="3:12" hidden="1" x14ac:dyDescent="0.35">
      <c r="C610" s="80"/>
      <c r="K610" s="81">
        <f>SUM(Table1[[#This Row],[Technical Knowledge]:[Repeat job nahin aana]])/6</f>
        <v>0</v>
      </c>
      <c r="L610" s="79" t="str">
        <f>IFERROR(AVERAGEIFS(Table1[Final Score],Table1[Month],Table1[[#This Row],[Month]],Table1[Year],Table1[[#This Row],[Year]],Table1[Mechanic Name],Table1[[#This Row],[Mechanic Name]]),"")</f>
        <v/>
      </c>
    </row>
    <row r="611" spans="3:12" hidden="1" x14ac:dyDescent="0.35">
      <c r="C611" s="80"/>
      <c r="K611" s="81">
        <f>SUM(Table1[[#This Row],[Technical Knowledge]:[Repeat job nahin aana]])/6</f>
        <v>0</v>
      </c>
      <c r="L611" s="79" t="str">
        <f>IFERROR(AVERAGEIFS(Table1[Final Score],Table1[Month],Table1[[#This Row],[Month]],Table1[Year],Table1[[#This Row],[Year]],Table1[Mechanic Name],Table1[[#This Row],[Mechanic Name]]),"")</f>
        <v/>
      </c>
    </row>
    <row r="612" spans="3:12" hidden="1" x14ac:dyDescent="0.35">
      <c r="C612" s="80"/>
      <c r="K612" s="81">
        <f>SUM(Table1[[#This Row],[Technical Knowledge]:[Repeat job nahin aana]])/6</f>
        <v>0</v>
      </c>
      <c r="L612" s="79" t="str">
        <f>IFERROR(AVERAGEIFS(Table1[Final Score],Table1[Month],Table1[[#This Row],[Month]],Table1[Year],Table1[[#This Row],[Year]],Table1[Mechanic Name],Table1[[#This Row],[Mechanic Name]]),"")</f>
        <v/>
      </c>
    </row>
    <row r="613" spans="3:12" hidden="1" x14ac:dyDescent="0.35">
      <c r="C613" s="80"/>
      <c r="K613" s="81">
        <f>SUM(Table1[[#This Row],[Technical Knowledge]:[Repeat job nahin aana]])/6</f>
        <v>0</v>
      </c>
      <c r="L613" s="79" t="str">
        <f>IFERROR(AVERAGEIFS(Table1[Final Score],Table1[Month],Table1[[#This Row],[Month]],Table1[Year],Table1[[#This Row],[Year]],Table1[Mechanic Name],Table1[[#This Row],[Mechanic Name]]),"")</f>
        <v/>
      </c>
    </row>
    <row r="614" spans="3:12" hidden="1" x14ac:dyDescent="0.35">
      <c r="C614" s="80"/>
      <c r="K614" s="81">
        <f>SUM(Table1[[#This Row],[Technical Knowledge]:[Repeat job nahin aana]])/6</f>
        <v>0</v>
      </c>
      <c r="L614" s="79" t="str">
        <f>IFERROR(AVERAGEIFS(Table1[Final Score],Table1[Month],Table1[[#This Row],[Month]],Table1[Year],Table1[[#This Row],[Year]],Table1[Mechanic Name],Table1[[#This Row],[Mechanic Name]]),"")</f>
        <v/>
      </c>
    </row>
    <row r="615" spans="3:12" hidden="1" x14ac:dyDescent="0.35">
      <c r="C615" s="80"/>
      <c r="K615" s="81">
        <f>SUM(Table1[[#This Row],[Technical Knowledge]:[Repeat job nahin aana]])/6</f>
        <v>0</v>
      </c>
      <c r="L615" s="79" t="str">
        <f>IFERROR(AVERAGEIFS(Table1[Final Score],Table1[Month],Table1[[#This Row],[Month]],Table1[Year],Table1[[#This Row],[Year]],Table1[Mechanic Name],Table1[[#This Row],[Mechanic Name]]),"")</f>
        <v/>
      </c>
    </row>
    <row r="616" spans="3:12" hidden="1" x14ac:dyDescent="0.35">
      <c r="C616" s="80"/>
      <c r="K616" s="81">
        <f>SUM(Table1[[#This Row],[Technical Knowledge]:[Repeat job nahin aana]])/6</f>
        <v>0</v>
      </c>
      <c r="L616" s="79" t="str">
        <f>IFERROR(AVERAGEIFS(Table1[Final Score],Table1[Month],Table1[[#This Row],[Month]],Table1[Year],Table1[[#This Row],[Year]],Table1[Mechanic Name],Table1[[#This Row],[Mechanic Name]]),"")</f>
        <v/>
      </c>
    </row>
    <row r="617" spans="3:12" hidden="1" x14ac:dyDescent="0.35">
      <c r="C617" s="80"/>
      <c r="K617" s="81">
        <f>SUM(Table1[[#This Row],[Technical Knowledge]:[Repeat job nahin aana]])/6</f>
        <v>0</v>
      </c>
      <c r="L617" s="79" t="str">
        <f>IFERROR(AVERAGEIFS(Table1[Final Score],Table1[Month],Table1[[#This Row],[Month]],Table1[Year],Table1[[#This Row],[Year]],Table1[Mechanic Name],Table1[[#This Row],[Mechanic Name]]),"")</f>
        <v/>
      </c>
    </row>
    <row r="618" spans="3:12" hidden="1" x14ac:dyDescent="0.35">
      <c r="C618" s="80"/>
      <c r="K618" s="81">
        <f>SUM(Table1[[#This Row],[Technical Knowledge]:[Repeat job nahin aana]])/6</f>
        <v>0</v>
      </c>
      <c r="L618" s="79" t="str">
        <f>IFERROR(AVERAGEIFS(Table1[Final Score],Table1[Month],Table1[[#This Row],[Month]],Table1[Year],Table1[[#This Row],[Year]],Table1[Mechanic Name],Table1[[#This Row],[Mechanic Name]]),"")</f>
        <v/>
      </c>
    </row>
    <row r="619" spans="3:12" hidden="1" x14ac:dyDescent="0.35">
      <c r="C619" s="80"/>
      <c r="K619" s="81">
        <f>SUM(Table1[[#This Row],[Technical Knowledge]:[Repeat job nahin aana]])/6</f>
        <v>0</v>
      </c>
      <c r="L619" s="79" t="str">
        <f>IFERROR(AVERAGEIFS(Table1[Final Score],Table1[Month],Table1[[#This Row],[Month]],Table1[Year],Table1[[#This Row],[Year]],Table1[Mechanic Name],Table1[[#This Row],[Mechanic Name]]),"")</f>
        <v/>
      </c>
    </row>
    <row r="620" spans="3:12" hidden="1" x14ac:dyDescent="0.35">
      <c r="C620" s="80"/>
      <c r="K620" s="81">
        <f>SUM(Table1[[#This Row],[Technical Knowledge]:[Repeat job nahin aana]])/6</f>
        <v>0</v>
      </c>
      <c r="L620" s="79" t="str">
        <f>IFERROR(AVERAGEIFS(Table1[Final Score],Table1[Month],Table1[[#This Row],[Month]],Table1[Year],Table1[[#This Row],[Year]],Table1[Mechanic Name],Table1[[#This Row],[Mechanic Name]]),"")</f>
        <v/>
      </c>
    </row>
    <row r="621" spans="3:12" hidden="1" x14ac:dyDescent="0.35">
      <c r="C621" s="80"/>
      <c r="K621" s="81">
        <f>SUM(Table1[[#This Row],[Technical Knowledge]:[Repeat job nahin aana]])/6</f>
        <v>0</v>
      </c>
      <c r="L621" s="79" t="str">
        <f>IFERROR(AVERAGEIFS(Table1[Final Score],Table1[Month],Table1[[#This Row],[Month]],Table1[Year],Table1[[#This Row],[Year]],Table1[Mechanic Name],Table1[[#This Row],[Mechanic Name]]),"")</f>
        <v/>
      </c>
    </row>
    <row r="622" spans="3:12" hidden="1" x14ac:dyDescent="0.35">
      <c r="C622" s="80"/>
      <c r="K622" s="81">
        <f>SUM(Table1[[#This Row],[Technical Knowledge]:[Repeat job nahin aana]])/6</f>
        <v>0</v>
      </c>
      <c r="L622" s="79" t="str">
        <f>IFERROR(AVERAGEIFS(Table1[Final Score],Table1[Month],Table1[[#This Row],[Month]],Table1[Year],Table1[[#This Row],[Year]],Table1[Mechanic Name],Table1[[#This Row],[Mechanic Name]]),"")</f>
        <v/>
      </c>
    </row>
    <row r="623" spans="3:12" hidden="1" x14ac:dyDescent="0.35">
      <c r="C623" s="80"/>
      <c r="K623" s="81">
        <f>SUM(Table1[[#This Row],[Technical Knowledge]:[Repeat job nahin aana]])/6</f>
        <v>0</v>
      </c>
      <c r="L623" s="79" t="str">
        <f>IFERROR(AVERAGEIFS(Table1[Final Score],Table1[Month],Table1[[#This Row],[Month]],Table1[Year],Table1[[#This Row],[Year]],Table1[Mechanic Name],Table1[[#This Row],[Mechanic Name]]),"")</f>
        <v/>
      </c>
    </row>
    <row r="624" spans="3:12" hidden="1" x14ac:dyDescent="0.35">
      <c r="C624" s="80"/>
      <c r="K624" s="81">
        <f>SUM(Table1[[#This Row],[Technical Knowledge]:[Repeat job nahin aana]])/6</f>
        <v>0</v>
      </c>
      <c r="L624" s="79" t="str">
        <f>IFERROR(AVERAGEIFS(Table1[Final Score],Table1[Month],Table1[[#This Row],[Month]],Table1[Year],Table1[[#This Row],[Year]],Table1[Mechanic Name],Table1[[#This Row],[Mechanic Name]]),"")</f>
        <v/>
      </c>
    </row>
    <row r="625" spans="3:12" hidden="1" x14ac:dyDescent="0.35">
      <c r="C625" s="80"/>
      <c r="K625" s="81">
        <f>SUM(Table1[[#This Row],[Technical Knowledge]:[Repeat job nahin aana]])/6</f>
        <v>0</v>
      </c>
      <c r="L625" s="79" t="str">
        <f>IFERROR(AVERAGEIFS(Table1[Final Score],Table1[Month],Table1[[#This Row],[Month]],Table1[Year],Table1[[#This Row],[Year]],Table1[Mechanic Name],Table1[[#This Row],[Mechanic Name]]),"")</f>
        <v/>
      </c>
    </row>
    <row r="626" spans="3:12" hidden="1" x14ac:dyDescent="0.35">
      <c r="C626" s="80"/>
      <c r="K626" s="81">
        <f>SUM(Table1[[#This Row],[Technical Knowledge]:[Repeat job nahin aana]])/6</f>
        <v>0</v>
      </c>
      <c r="L626" s="79" t="str">
        <f>IFERROR(AVERAGEIFS(Table1[Final Score],Table1[Month],Table1[[#This Row],[Month]],Table1[Year],Table1[[#This Row],[Year]],Table1[Mechanic Name],Table1[[#This Row],[Mechanic Name]]),"")</f>
        <v/>
      </c>
    </row>
    <row r="627" spans="3:12" hidden="1" x14ac:dyDescent="0.35">
      <c r="C627" s="80"/>
      <c r="K627" s="81">
        <f>SUM(Table1[[#This Row],[Technical Knowledge]:[Repeat job nahin aana]])/6</f>
        <v>0</v>
      </c>
      <c r="L627" s="79" t="str">
        <f>IFERROR(AVERAGEIFS(Table1[Final Score],Table1[Month],Table1[[#This Row],[Month]],Table1[Year],Table1[[#This Row],[Year]],Table1[Mechanic Name],Table1[[#This Row],[Mechanic Name]]),"")</f>
        <v/>
      </c>
    </row>
    <row r="628" spans="3:12" hidden="1" x14ac:dyDescent="0.35">
      <c r="C628" s="80"/>
      <c r="K628" s="81">
        <f>SUM(Table1[[#This Row],[Technical Knowledge]:[Repeat job nahin aana]])/6</f>
        <v>0</v>
      </c>
      <c r="L628" s="79" t="str">
        <f>IFERROR(AVERAGEIFS(Table1[Final Score],Table1[Month],Table1[[#This Row],[Month]],Table1[Year],Table1[[#This Row],[Year]],Table1[Mechanic Name],Table1[[#This Row],[Mechanic Name]]),"")</f>
        <v/>
      </c>
    </row>
    <row r="629" spans="3:12" hidden="1" x14ac:dyDescent="0.35">
      <c r="C629" s="80"/>
      <c r="K629" s="81">
        <f>SUM(Table1[[#This Row],[Technical Knowledge]:[Repeat job nahin aana]])/6</f>
        <v>0</v>
      </c>
      <c r="L629" s="79" t="str">
        <f>IFERROR(AVERAGEIFS(Table1[Final Score],Table1[Month],Table1[[#This Row],[Month]],Table1[Year],Table1[[#This Row],[Year]],Table1[Mechanic Name],Table1[[#This Row],[Mechanic Name]]),"")</f>
        <v/>
      </c>
    </row>
    <row r="630" spans="3:12" hidden="1" x14ac:dyDescent="0.35">
      <c r="C630" s="80"/>
      <c r="K630" s="81">
        <f>SUM(Table1[[#This Row],[Technical Knowledge]:[Repeat job nahin aana]])/6</f>
        <v>0</v>
      </c>
      <c r="L630" s="79" t="str">
        <f>IFERROR(AVERAGEIFS(Table1[Final Score],Table1[Month],Table1[[#This Row],[Month]],Table1[Year],Table1[[#This Row],[Year]],Table1[Mechanic Name],Table1[[#This Row],[Mechanic Name]]),"")</f>
        <v/>
      </c>
    </row>
    <row r="631" spans="3:12" hidden="1" x14ac:dyDescent="0.35">
      <c r="C631" s="80"/>
      <c r="K631" s="81">
        <f>SUM(Table1[[#This Row],[Technical Knowledge]:[Repeat job nahin aana]])/6</f>
        <v>0</v>
      </c>
      <c r="L631" s="79" t="str">
        <f>IFERROR(AVERAGEIFS(Table1[Final Score],Table1[Month],Table1[[#This Row],[Month]],Table1[Year],Table1[[#This Row],[Year]],Table1[Mechanic Name],Table1[[#This Row],[Mechanic Name]]),"")</f>
        <v/>
      </c>
    </row>
    <row r="632" spans="3:12" hidden="1" x14ac:dyDescent="0.35">
      <c r="C632" s="80"/>
      <c r="K632" s="81">
        <f>SUM(Table1[[#This Row],[Technical Knowledge]:[Repeat job nahin aana]])/6</f>
        <v>0</v>
      </c>
      <c r="L632" s="79" t="str">
        <f>IFERROR(AVERAGEIFS(Table1[Final Score],Table1[Month],Table1[[#This Row],[Month]],Table1[Year],Table1[[#This Row],[Year]],Table1[Mechanic Name],Table1[[#This Row],[Mechanic Name]]),"")</f>
        <v/>
      </c>
    </row>
    <row r="633" spans="3:12" hidden="1" x14ac:dyDescent="0.35">
      <c r="C633" s="80"/>
      <c r="K633" s="81">
        <f>SUM(Table1[[#This Row],[Technical Knowledge]:[Repeat job nahin aana]])/6</f>
        <v>0</v>
      </c>
      <c r="L633" s="79" t="str">
        <f>IFERROR(AVERAGEIFS(Table1[Final Score],Table1[Month],Table1[[#This Row],[Month]],Table1[Year],Table1[[#This Row],[Year]],Table1[Mechanic Name],Table1[[#This Row],[Mechanic Name]]),"")</f>
        <v/>
      </c>
    </row>
    <row r="634" spans="3:12" hidden="1" x14ac:dyDescent="0.35">
      <c r="C634" s="80"/>
      <c r="K634" s="81">
        <f>SUM(Table1[[#This Row],[Technical Knowledge]:[Repeat job nahin aana]])/6</f>
        <v>0</v>
      </c>
      <c r="L634" s="79" t="str">
        <f>IFERROR(AVERAGEIFS(Table1[Final Score],Table1[Month],Table1[[#This Row],[Month]],Table1[Year],Table1[[#This Row],[Year]],Table1[Mechanic Name],Table1[[#This Row],[Mechanic Name]]),"")</f>
        <v/>
      </c>
    </row>
    <row r="635" spans="3:12" hidden="1" x14ac:dyDescent="0.35">
      <c r="C635" s="80"/>
      <c r="K635" s="81">
        <f>SUM(Table1[[#This Row],[Technical Knowledge]:[Repeat job nahin aana]])/6</f>
        <v>0</v>
      </c>
      <c r="L635" s="79" t="str">
        <f>IFERROR(AVERAGEIFS(Table1[Final Score],Table1[Month],Table1[[#This Row],[Month]],Table1[Year],Table1[[#This Row],[Year]],Table1[Mechanic Name],Table1[[#This Row],[Mechanic Name]]),"")</f>
        <v/>
      </c>
    </row>
    <row r="636" spans="3:12" hidden="1" x14ac:dyDescent="0.35">
      <c r="C636" s="80"/>
      <c r="K636" s="81">
        <f>SUM(Table1[[#This Row],[Technical Knowledge]:[Repeat job nahin aana]])/6</f>
        <v>0</v>
      </c>
      <c r="L636" s="79" t="str">
        <f>IFERROR(AVERAGEIFS(Table1[Final Score],Table1[Month],Table1[[#This Row],[Month]],Table1[Year],Table1[[#This Row],[Year]],Table1[Mechanic Name],Table1[[#This Row],[Mechanic Name]]),"")</f>
        <v/>
      </c>
    </row>
    <row r="637" spans="3:12" hidden="1" x14ac:dyDescent="0.35">
      <c r="C637" s="80"/>
      <c r="K637" s="81">
        <f>SUM(Table1[[#This Row],[Technical Knowledge]:[Repeat job nahin aana]])/6</f>
        <v>0</v>
      </c>
      <c r="L637" s="79" t="str">
        <f>IFERROR(AVERAGEIFS(Table1[Final Score],Table1[Month],Table1[[#This Row],[Month]],Table1[Year],Table1[[#This Row],[Year]],Table1[Mechanic Name],Table1[[#This Row],[Mechanic Name]]),"")</f>
        <v/>
      </c>
    </row>
    <row r="638" spans="3:12" hidden="1" x14ac:dyDescent="0.35">
      <c r="C638" s="80"/>
      <c r="K638" s="81">
        <f>SUM(Table1[[#This Row],[Technical Knowledge]:[Repeat job nahin aana]])/6</f>
        <v>0</v>
      </c>
      <c r="L638" s="79" t="str">
        <f>IFERROR(AVERAGEIFS(Table1[Final Score],Table1[Month],Table1[[#This Row],[Month]],Table1[Year],Table1[[#This Row],[Year]],Table1[Mechanic Name],Table1[[#This Row],[Mechanic Name]]),"")</f>
        <v/>
      </c>
    </row>
    <row r="639" spans="3:12" hidden="1" x14ac:dyDescent="0.35">
      <c r="C639" s="80"/>
      <c r="K639" s="81">
        <f>SUM(Table1[[#This Row],[Technical Knowledge]:[Repeat job nahin aana]])/6</f>
        <v>0</v>
      </c>
      <c r="L639" s="79" t="str">
        <f>IFERROR(AVERAGEIFS(Table1[Final Score],Table1[Month],Table1[[#This Row],[Month]],Table1[Year],Table1[[#This Row],[Year]],Table1[Mechanic Name],Table1[[#This Row],[Mechanic Name]]),"")</f>
        <v/>
      </c>
    </row>
    <row r="640" spans="3:12" hidden="1" x14ac:dyDescent="0.35">
      <c r="C640" s="80"/>
      <c r="K640" s="81">
        <f>SUM(Table1[[#This Row],[Technical Knowledge]:[Repeat job nahin aana]])/6</f>
        <v>0</v>
      </c>
      <c r="L640" s="79" t="str">
        <f>IFERROR(AVERAGEIFS(Table1[Final Score],Table1[Month],Table1[[#This Row],[Month]],Table1[Year],Table1[[#This Row],[Year]],Table1[Mechanic Name],Table1[[#This Row],[Mechanic Name]]),"")</f>
        <v/>
      </c>
    </row>
    <row r="641" spans="3:12" hidden="1" x14ac:dyDescent="0.35">
      <c r="C641" s="80"/>
      <c r="K641" s="81">
        <f>SUM(Table1[[#This Row],[Technical Knowledge]:[Repeat job nahin aana]])/6</f>
        <v>0</v>
      </c>
      <c r="L641" s="79" t="str">
        <f>IFERROR(AVERAGEIFS(Table1[Final Score],Table1[Month],Table1[[#This Row],[Month]],Table1[Year],Table1[[#This Row],[Year]],Table1[Mechanic Name],Table1[[#This Row],[Mechanic Name]]),"")</f>
        <v/>
      </c>
    </row>
    <row r="642" spans="3:12" hidden="1" x14ac:dyDescent="0.35">
      <c r="C642" s="80"/>
      <c r="K642" s="81">
        <f>SUM(Table1[[#This Row],[Technical Knowledge]:[Repeat job nahin aana]])/6</f>
        <v>0</v>
      </c>
      <c r="L642" s="79" t="str">
        <f>IFERROR(AVERAGEIFS(Table1[Final Score],Table1[Month],Table1[[#This Row],[Month]],Table1[Year],Table1[[#This Row],[Year]],Table1[Mechanic Name],Table1[[#This Row],[Mechanic Name]]),"")</f>
        <v/>
      </c>
    </row>
    <row r="643" spans="3:12" hidden="1" x14ac:dyDescent="0.35">
      <c r="C643" s="80"/>
      <c r="K643" s="81">
        <f>SUM(Table1[[#This Row],[Technical Knowledge]:[Repeat job nahin aana]])/6</f>
        <v>0</v>
      </c>
      <c r="L643" s="79" t="str">
        <f>IFERROR(AVERAGEIFS(Table1[Final Score],Table1[Month],Table1[[#This Row],[Month]],Table1[Year],Table1[[#This Row],[Year]],Table1[Mechanic Name],Table1[[#This Row],[Mechanic Name]]),"")</f>
        <v/>
      </c>
    </row>
    <row r="644" spans="3:12" hidden="1" x14ac:dyDescent="0.35">
      <c r="C644" s="80"/>
      <c r="K644" s="81">
        <f>SUM(Table1[[#This Row],[Technical Knowledge]:[Repeat job nahin aana]])/6</f>
        <v>0</v>
      </c>
      <c r="L644" s="79" t="str">
        <f>IFERROR(AVERAGEIFS(Table1[Final Score],Table1[Month],Table1[[#This Row],[Month]],Table1[Year],Table1[[#This Row],[Year]],Table1[Mechanic Name],Table1[[#This Row],[Mechanic Name]]),"")</f>
        <v/>
      </c>
    </row>
    <row r="645" spans="3:12" hidden="1" x14ac:dyDescent="0.35">
      <c r="C645" s="80"/>
      <c r="K645" s="81">
        <f>SUM(Table1[[#This Row],[Technical Knowledge]:[Repeat job nahin aana]])/6</f>
        <v>0</v>
      </c>
      <c r="L645" s="79" t="str">
        <f>IFERROR(AVERAGEIFS(Table1[Final Score],Table1[Month],Table1[[#This Row],[Month]],Table1[Year],Table1[[#This Row],[Year]],Table1[Mechanic Name],Table1[[#This Row],[Mechanic Name]]),"")</f>
        <v/>
      </c>
    </row>
    <row r="646" spans="3:12" hidden="1" x14ac:dyDescent="0.35">
      <c r="C646" s="80"/>
      <c r="K646" s="81">
        <f>SUM(Table1[[#This Row],[Technical Knowledge]:[Repeat job nahin aana]])/6</f>
        <v>0</v>
      </c>
      <c r="L646" s="79" t="str">
        <f>IFERROR(AVERAGEIFS(Table1[Final Score],Table1[Month],Table1[[#This Row],[Month]],Table1[Year],Table1[[#This Row],[Year]],Table1[Mechanic Name],Table1[[#This Row],[Mechanic Name]]),"")</f>
        <v/>
      </c>
    </row>
    <row r="647" spans="3:12" hidden="1" x14ac:dyDescent="0.35">
      <c r="C647" s="80"/>
      <c r="K647" s="81">
        <f>SUM(Table1[[#This Row],[Technical Knowledge]:[Repeat job nahin aana]])/6</f>
        <v>0</v>
      </c>
      <c r="L647" s="79" t="str">
        <f>IFERROR(AVERAGEIFS(Table1[Final Score],Table1[Month],Table1[[#This Row],[Month]],Table1[Year],Table1[[#This Row],[Year]],Table1[Mechanic Name],Table1[[#This Row],[Mechanic Name]]),"")</f>
        <v/>
      </c>
    </row>
    <row r="648" spans="3:12" hidden="1" x14ac:dyDescent="0.35">
      <c r="C648" s="80"/>
      <c r="K648" s="81">
        <f>SUM(Table1[[#This Row],[Technical Knowledge]:[Repeat job nahin aana]])/6</f>
        <v>0</v>
      </c>
      <c r="L648" s="79" t="str">
        <f>IFERROR(AVERAGEIFS(Table1[Final Score],Table1[Month],Table1[[#This Row],[Month]],Table1[Year],Table1[[#This Row],[Year]],Table1[Mechanic Name],Table1[[#This Row],[Mechanic Name]]),"")</f>
        <v/>
      </c>
    </row>
    <row r="649" spans="3:12" hidden="1" x14ac:dyDescent="0.35">
      <c r="C649" s="80"/>
      <c r="K649" s="81">
        <f>SUM(Table1[[#This Row],[Technical Knowledge]:[Repeat job nahin aana]])/6</f>
        <v>0</v>
      </c>
      <c r="L649" s="79" t="str">
        <f>IFERROR(AVERAGEIFS(Table1[Final Score],Table1[Month],Table1[[#This Row],[Month]],Table1[Year],Table1[[#This Row],[Year]],Table1[Mechanic Name],Table1[[#This Row],[Mechanic Name]]),"")</f>
        <v/>
      </c>
    </row>
    <row r="650" spans="3:12" hidden="1" x14ac:dyDescent="0.35">
      <c r="C650" s="80"/>
      <c r="K650" s="81">
        <f>SUM(Table1[[#This Row],[Technical Knowledge]:[Repeat job nahin aana]])/6</f>
        <v>0</v>
      </c>
      <c r="L650" s="79" t="str">
        <f>IFERROR(AVERAGEIFS(Table1[Final Score],Table1[Month],Table1[[#This Row],[Month]],Table1[Year],Table1[[#This Row],[Year]],Table1[Mechanic Name],Table1[[#This Row],[Mechanic Name]]),"")</f>
        <v/>
      </c>
    </row>
    <row r="651" spans="3:12" hidden="1" x14ac:dyDescent="0.35">
      <c r="C651" s="80"/>
      <c r="K651" s="81">
        <f>SUM(Table1[[#This Row],[Technical Knowledge]:[Repeat job nahin aana]])/6</f>
        <v>0</v>
      </c>
      <c r="L651" s="79" t="str">
        <f>IFERROR(AVERAGEIFS(Table1[Final Score],Table1[Month],Table1[[#This Row],[Month]],Table1[Year],Table1[[#This Row],[Year]],Table1[Mechanic Name],Table1[[#This Row],[Mechanic Name]]),"")</f>
        <v/>
      </c>
    </row>
    <row r="652" spans="3:12" hidden="1" x14ac:dyDescent="0.35">
      <c r="C652" s="80"/>
      <c r="K652" s="81">
        <f>SUM(Table1[[#This Row],[Technical Knowledge]:[Repeat job nahin aana]])/6</f>
        <v>0</v>
      </c>
      <c r="L652" s="79" t="str">
        <f>IFERROR(AVERAGEIFS(Table1[Final Score],Table1[Month],Table1[[#This Row],[Month]],Table1[Year],Table1[[#This Row],[Year]],Table1[Mechanic Name],Table1[[#This Row],[Mechanic Name]]),"")</f>
        <v/>
      </c>
    </row>
    <row r="653" spans="3:12" hidden="1" x14ac:dyDescent="0.35">
      <c r="C653" s="80"/>
      <c r="K653" s="81">
        <f>SUM(Table1[[#This Row],[Technical Knowledge]:[Repeat job nahin aana]])/6</f>
        <v>0</v>
      </c>
      <c r="L653" s="79" t="str">
        <f>IFERROR(AVERAGEIFS(Table1[Final Score],Table1[Month],Table1[[#This Row],[Month]],Table1[Year],Table1[[#This Row],[Year]],Table1[Mechanic Name],Table1[[#This Row],[Mechanic Name]]),"")</f>
        <v/>
      </c>
    </row>
    <row r="654" spans="3:12" hidden="1" x14ac:dyDescent="0.35">
      <c r="C654" s="80"/>
      <c r="K654" s="81">
        <f>SUM(Table1[[#This Row],[Technical Knowledge]:[Repeat job nahin aana]])/6</f>
        <v>0</v>
      </c>
      <c r="L654" s="79" t="str">
        <f>IFERROR(AVERAGEIFS(Table1[Final Score],Table1[Month],Table1[[#This Row],[Month]],Table1[Year],Table1[[#This Row],[Year]],Table1[Mechanic Name],Table1[[#This Row],[Mechanic Name]]),"")</f>
        <v/>
      </c>
    </row>
    <row r="655" spans="3:12" hidden="1" x14ac:dyDescent="0.35">
      <c r="C655" s="80"/>
      <c r="K655" s="81">
        <f>SUM(Table1[[#This Row],[Technical Knowledge]:[Repeat job nahin aana]])/6</f>
        <v>0</v>
      </c>
      <c r="L655" s="79" t="str">
        <f>IFERROR(AVERAGEIFS(Table1[Final Score],Table1[Month],Table1[[#This Row],[Month]],Table1[Year],Table1[[#This Row],[Year]],Table1[Mechanic Name],Table1[[#This Row],[Mechanic Name]]),"")</f>
        <v/>
      </c>
    </row>
    <row r="656" spans="3:12" hidden="1" x14ac:dyDescent="0.35">
      <c r="C656" s="80"/>
      <c r="K656" s="81">
        <f>SUM(Table1[[#This Row],[Technical Knowledge]:[Repeat job nahin aana]])/6</f>
        <v>0</v>
      </c>
      <c r="L656" s="79" t="str">
        <f>IFERROR(AVERAGEIFS(Table1[Final Score],Table1[Month],Table1[[#This Row],[Month]],Table1[Year],Table1[[#This Row],[Year]],Table1[Mechanic Name],Table1[[#This Row],[Mechanic Name]]),"")</f>
        <v/>
      </c>
    </row>
    <row r="657" spans="3:12" hidden="1" x14ac:dyDescent="0.35">
      <c r="C657" s="80"/>
      <c r="K657" s="81">
        <f>SUM(Table1[[#This Row],[Technical Knowledge]:[Repeat job nahin aana]])/6</f>
        <v>0</v>
      </c>
      <c r="L657" s="79" t="str">
        <f>IFERROR(AVERAGEIFS(Table1[Final Score],Table1[Month],Table1[[#This Row],[Month]],Table1[Year],Table1[[#This Row],[Year]],Table1[Mechanic Name],Table1[[#This Row],[Mechanic Name]]),"")</f>
        <v/>
      </c>
    </row>
    <row r="658" spans="3:12" hidden="1" x14ac:dyDescent="0.35">
      <c r="C658" s="80"/>
      <c r="K658" s="81">
        <f>SUM(Table1[[#This Row],[Technical Knowledge]:[Repeat job nahin aana]])/6</f>
        <v>0</v>
      </c>
      <c r="L658" s="79" t="str">
        <f>IFERROR(AVERAGEIFS(Table1[Final Score],Table1[Month],Table1[[#This Row],[Month]],Table1[Year],Table1[[#This Row],[Year]],Table1[Mechanic Name],Table1[[#This Row],[Mechanic Name]]),"")</f>
        <v/>
      </c>
    </row>
    <row r="659" spans="3:12" hidden="1" x14ac:dyDescent="0.35">
      <c r="C659" s="80"/>
      <c r="K659" s="81">
        <f>SUM(Table1[[#This Row],[Technical Knowledge]:[Repeat job nahin aana]])/6</f>
        <v>0</v>
      </c>
      <c r="L659" s="79" t="str">
        <f>IFERROR(AVERAGEIFS(Table1[Final Score],Table1[Month],Table1[[#This Row],[Month]],Table1[Year],Table1[[#This Row],[Year]],Table1[Mechanic Name],Table1[[#This Row],[Mechanic Name]]),"")</f>
        <v/>
      </c>
    </row>
    <row r="660" spans="3:12" hidden="1" x14ac:dyDescent="0.35">
      <c r="C660" s="80"/>
      <c r="K660" s="81">
        <f>SUM(Table1[[#This Row],[Technical Knowledge]:[Repeat job nahin aana]])/6</f>
        <v>0</v>
      </c>
      <c r="L660" s="79" t="str">
        <f>IFERROR(AVERAGEIFS(Table1[Final Score],Table1[Month],Table1[[#This Row],[Month]],Table1[Year],Table1[[#This Row],[Year]],Table1[Mechanic Name],Table1[[#This Row],[Mechanic Name]]),"")</f>
        <v/>
      </c>
    </row>
    <row r="661" spans="3:12" hidden="1" x14ac:dyDescent="0.35">
      <c r="C661" s="80"/>
      <c r="K661" s="81">
        <f>SUM(Table1[[#This Row],[Technical Knowledge]:[Repeat job nahin aana]])/6</f>
        <v>0</v>
      </c>
      <c r="L661" s="79" t="str">
        <f>IFERROR(AVERAGEIFS(Table1[Final Score],Table1[Month],Table1[[#This Row],[Month]],Table1[Year],Table1[[#This Row],[Year]],Table1[Mechanic Name],Table1[[#This Row],[Mechanic Name]]),"")</f>
        <v/>
      </c>
    </row>
    <row r="662" spans="3:12" hidden="1" x14ac:dyDescent="0.35">
      <c r="C662" s="80"/>
      <c r="K662" s="81">
        <f>SUM(Table1[[#This Row],[Technical Knowledge]:[Repeat job nahin aana]])/6</f>
        <v>0</v>
      </c>
      <c r="L662" s="79" t="str">
        <f>IFERROR(AVERAGEIFS(Table1[Final Score],Table1[Month],Table1[[#This Row],[Month]],Table1[Year],Table1[[#This Row],[Year]],Table1[Mechanic Name],Table1[[#This Row],[Mechanic Name]]),"")</f>
        <v/>
      </c>
    </row>
    <row r="663" spans="3:12" hidden="1" x14ac:dyDescent="0.35">
      <c r="C663" s="80"/>
      <c r="K663" s="81">
        <f>SUM(Table1[[#This Row],[Technical Knowledge]:[Repeat job nahin aana]])/6</f>
        <v>0</v>
      </c>
      <c r="L663" s="79" t="str">
        <f>IFERROR(AVERAGEIFS(Table1[Final Score],Table1[Month],Table1[[#This Row],[Month]],Table1[Year],Table1[[#This Row],[Year]],Table1[Mechanic Name],Table1[[#This Row],[Mechanic Name]]),"")</f>
        <v/>
      </c>
    </row>
    <row r="664" spans="3:12" hidden="1" x14ac:dyDescent="0.35">
      <c r="C664" s="80"/>
      <c r="K664" s="81">
        <f>SUM(Table1[[#This Row],[Technical Knowledge]:[Repeat job nahin aana]])/6</f>
        <v>0</v>
      </c>
      <c r="L664" s="79" t="str">
        <f>IFERROR(AVERAGEIFS(Table1[Final Score],Table1[Month],Table1[[#This Row],[Month]],Table1[Year],Table1[[#This Row],[Year]],Table1[Mechanic Name],Table1[[#This Row],[Mechanic Name]]),"")</f>
        <v/>
      </c>
    </row>
    <row r="665" spans="3:12" hidden="1" x14ac:dyDescent="0.35">
      <c r="C665" s="80"/>
      <c r="K665" s="81">
        <f>SUM(Table1[[#This Row],[Technical Knowledge]:[Repeat job nahin aana]])/6</f>
        <v>0</v>
      </c>
      <c r="L665" s="79" t="str">
        <f>IFERROR(AVERAGEIFS(Table1[Final Score],Table1[Month],Table1[[#This Row],[Month]],Table1[Year],Table1[[#This Row],[Year]],Table1[Mechanic Name],Table1[[#This Row],[Mechanic Name]]),"")</f>
        <v/>
      </c>
    </row>
    <row r="666" spans="3:12" hidden="1" x14ac:dyDescent="0.35">
      <c r="C666" s="80"/>
      <c r="K666" s="81">
        <f>SUM(Table1[[#This Row],[Technical Knowledge]:[Repeat job nahin aana]])/6</f>
        <v>0</v>
      </c>
      <c r="L666" s="79" t="str">
        <f>IFERROR(AVERAGEIFS(Table1[Final Score],Table1[Month],Table1[[#This Row],[Month]],Table1[Year],Table1[[#This Row],[Year]],Table1[Mechanic Name],Table1[[#This Row],[Mechanic Name]]),"")</f>
        <v/>
      </c>
    </row>
    <row r="667" spans="3:12" hidden="1" x14ac:dyDescent="0.35">
      <c r="C667" s="80"/>
      <c r="K667" s="81">
        <f>SUM(Table1[[#This Row],[Technical Knowledge]:[Repeat job nahin aana]])/6</f>
        <v>0</v>
      </c>
      <c r="L667" s="79" t="str">
        <f>IFERROR(AVERAGEIFS(Table1[Final Score],Table1[Month],Table1[[#This Row],[Month]],Table1[Year],Table1[[#This Row],[Year]],Table1[Mechanic Name],Table1[[#This Row],[Mechanic Name]]),"")</f>
        <v/>
      </c>
    </row>
    <row r="668" spans="3:12" hidden="1" x14ac:dyDescent="0.35">
      <c r="C668" s="80"/>
      <c r="K668" s="81">
        <f>SUM(Table1[[#This Row],[Technical Knowledge]:[Repeat job nahin aana]])/6</f>
        <v>0</v>
      </c>
      <c r="L668" s="79" t="str">
        <f>IFERROR(AVERAGEIFS(Table1[Final Score],Table1[Month],Table1[[#This Row],[Month]],Table1[Year],Table1[[#This Row],[Year]],Table1[Mechanic Name],Table1[[#This Row],[Mechanic Name]]),"")</f>
        <v/>
      </c>
    </row>
    <row r="669" spans="3:12" hidden="1" x14ac:dyDescent="0.35">
      <c r="C669" s="80"/>
      <c r="K669" s="81">
        <f>SUM(Table1[[#This Row],[Technical Knowledge]:[Repeat job nahin aana]])/6</f>
        <v>0</v>
      </c>
      <c r="L669" s="79" t="str">
        <f>IFERROR(AVERAGEIFS(Table1[Final Score],Table1[Month],Table1[[#This Row],[Month]],Table1[Year],Table1[[#This Row],[Year]],Table1[Mechanic Name],Table1[[#This Row],[Mechanic Name]]),"")</f>
        <v/>
      </c>
    </row>
    <row r="670" spans="3:12" hidden="1" x14ac:dyDescent="0.35">
      <c r="C670" s="80"/>
      <c r="K670" s="81">
        <f>SUM(Table1[[#This Row],[Technical Knowledge]:[Repeat job nahin aana]])/6</f>
        <v>0</v>
      </c>
      <c r="L670" s="79" t="str">
        <f>IFERROR(AVERAGEIFS(Table1[Final Score],Table1[Month],Table1[[#This Row],[Month]],Table1[Year],Table1[[#This Row],[Year]],Table1[Mechanic Name],Table1[[#This Row],[Mechanic Name]]),"")</f>
        <v/>
      </c>
    </row>
    <row r="671" spans="3:12" hidden="1" x14ac:dyDescent="0.35">
      <c r="C671" s="80"/>
      <c r="K671" s="81">
        <f>SUM(Table1[[#This Row],[Technical Knowledge]:[Repeat job nahin aana]])/6</f>
        <v>0</v>
      </c>
      <c r="L671" s="79" t="str">
        <f>IFERROR(AVERAGEIFS(Table1[Final Score],Table1[Month],Table1[[#This Row],[Month]],Table1[Year],Table1[[#This Row],[Year]],Table1[Mechanic Name],Table1[[#This Row],[Mechanic Name]]),"")</f>
        <v/>
      </c>
    </row>
    <row r="672" spans="3:12" hidden="1" x14ac:dyDescent="0.35">
      <c r="C672" s="80"/>
      <c r="K672" s="81">
        <f>SUM(Table1[[#This Row],[Technical Knowledge]:[Repeat job nahin aana]])/6</f>
        <v>0</v>
      </c>
      <c r="L672" s="79" t="str">
        <f>IFERROR(AVERAGEIFS(Table1[Final Score],Table1[Month],Table1[[#This Row],[Month]],Table1[Year],Table1[[#This Row],[Year]],Table1[Mechanic Name],Table1[[#This Row],[Mechanic Name]]),"")</f>
        <v/>
      </c>
    </row>
    <row r="673" spans="3:12" hidden="1" x14ac:dyDescent="0.35">
      <c r="C673" s="80"/>
      <c r="K673" s="81">
        <f>SUM(Table1[[#This Row],[Technical Knowledge]:[Repeat job nahin aana]])/6</f>
        <v>0</v>
      </c>
      <c r="L673" s="79" t="str">
        <f>IFERROR(AVERAGEIFS(Table1[Final Score],Table1[Month],Table1[[#This Row],[Month]],Table1[Year],Table1[[#This Row],[Year]],Table1[Mechanic Name],Table1[[#This Row],[Mechanic Name]]),"")</f>
        <v/>
      </c>
    </row>
    <row r="674" spans="3:12" hidden="1" x14ac:dyDescent="0.35">
      <c r="C674" s="80"/>
      <c r="K674" s="81">
        <f>SUM(Table1[[#This Row],[Technical Knowledge]:[Repeat job nahin aana]])/6</f>
        <v>0</v>
      </c>
      <c r="L674" s="79" t="str">
        <f>IFERROR(AVERAGEIFS(Table1[Final Score],Table1[Month],Table1[[#This Row],[Month]],Table1[Year],Table1[[#This Row],[Year]],Table1[Mechanic Name],Table1[[#This Row],[Mechanic Name]]),"")</f>
        <v/>
      </c>
    </row>
    <row r="675" spans="3:12" hidden="1" x14ac:dyDescent="0.35">
      <c r="C675" s="80"/>
      <c r="K675" s="81">
        <f>SUM(Table1[[#This Row],[Technical Knowledge]:[Repeat job nahin aana]])/6</f>
        <v>0</v>
      </c>
      <c r="L675" s="79" t="str">
        <f>IFERROR(AVERAGEIFS(Table1[Final Score],Table1[Month],Table1[[#This Row],[Month]],Table1[Year],Table1[[#This Row],[Year]],Table1[Mechanic Name],Table1[[#This Row],[Mechanic Name]]),"")</f>
        <v/>
      </c>
    </row>
    <row r="676" spans="3:12" hidden="1" x14ac:dyDescent="0.35">
      <c r="C676" s="80"/>
      <c r="K676" s="81">
        <f>SUM(Table1[[#This Row],[Technical Knowledge]:[Repeat job nahin aana]])/6</f>
        <v>0</v>
      </c>
      <c r="L676" s="79" t="str">
        <f>IFERROR(AVERAGEIFS(Table1[Final Score],Table1[Month],Table1[[#This Row],[Month]],Table1[Year],Table1[[#This Row],[Year]],Table1[Mechanic Name],Table1[[#This Row],[Mechanic Name]]),"")</f>
        <v/>
      </c>
    </row>
    <row r="677" spans="3:12" hidden="1" x14ac:dyDescent="0.35">
      <c r="C677" s="80"/>
      <c r="K677" s="81">
        <f>SUM(Table1[[#This Row],[Technical Knowledge]:[Repeat job nahin aana]])/6</f>
        <v>0</v>
      </c>
      <c r="L677" s="79" t="str">
        <f>IFERROR(AVERAGEIFS(Table1[Final Score],Table1[Month],Table1[[#This Row],[Month]],Table1[Year],Table1[[#This Row],[Year]],Table1[Mechanic Name],Table1[[#This Row],[Mechanic Name]]),"")</f>
        <v/>
      </c>
    </row>
    <row r="678" spans="3:12" hidden="1" x14ac:dyDescent="0.35">
      <c r="C678" s="80"/>
      <c r="K678" s="81">
        <f>SUM(Table1[[#This Row],[Technical Knowledge]:[Repeat job nahin aana]])/6</f>
        <v>0</v>
      </c>
      <c r="L678" s="79" t="str">
        <f>IFERROR(AVERAGEIFS(Table1[Final Score],Table1[Month],Table1[[#This Row],[Month]],Table1[Year],Table1[[#This Row],[Year]],Table1[Mechanic Name],Table1[[#This Row],[Mechanic Name]]),"")</f>
        <v/>
      </c>
    </row>
    <row r="679" spans="3:12" hidden="1" x14ac:dyDescent="0.35">
      <c r="C679" s="80"/>
      <c r="K679" s="81">
        <f>SUM(Table1[[#This Row],[Technical Knowledge]:[Repeat job nahin aana]])/6</f>
        <v>0</v>
      </c>
      <c r="L679" s="79" t="str">
        <f>IFERROR(AVERAGEIFS(Table1[Final Score],Table1[Month],Table1[[#This Row],[Month]],Table1[Year],Table1[[#This Row],[Year]],Table1[Mechanic Name],Table1[[#This Row],[Mechanic Name]]),"")</f>
        <v/>
      </c>
    </row>
    <row r="680" spans="3:12" hidden="1" x14ac:dyDescent="0.35">
      <c r="C680" s="80"/>
      <c r="K680" s="81">
        <f>SUM(Table1[[#This Row],[Technical Knowledge]:[Repeat job nahin aana]])/6</f>
        <v>0</v>
      </c>
      <c r="L680" s="79" t="str">
        <f>IFERROR(AVERAGEIFS(Table1[Final Score],Table1[Month],Table1[[#This Row],[Month]],Table1[Year],Table1[[#This Row],[Year]],Table1[Mechanic Name],Table1[[#This Row],[Mechanic Name]]),"")</f>
        <v/>
      </c>
    </row>
    <row r="681" spans="3:12" hidden="1" x14ac:dyDescent="0.35">
      <c r="C681" s="80"/>
      <c r="K681" s="81">
        <f>SUM(Table1[[#This Row],[Technical Knowledge]:[Repeat job nahin aana]])/6</f>
        <v>0</v>
      </c>
      <c r="L681" s="79" t="str">
        <f>IFERROR(AVERAGEIFS(Table1[Final Score],Table1[Month],Table1[[#This Row],[Month]],Table1[Year],Table1[[#This Row],[Year]],Table1[Mechanic Name],Table1[[#This Row],[Mechanic Name]]),"")</f>
        <v/>
      </c>
    </row>
    <row r="682" spans="3:12" hidden="1" x14ac:dyDescent="0.35">
      <c r="C682" s="80"/>
      <c r="K682" s="81">
        <f>SUM(Table1[[#This Row],[Technical Knowledge]:[Repeat job nahin aana]])/6</f>
        <v>0</v>
      </c>
      <c r="L682" s="79" t="str">
        <f>IFERROR(AVERAGEIFS(Table1[Final Score],Table1[Month],Table1[[#This Row],[Month]],Table1[Year],Table1[[#This Row],[Year]],Table1[Mechanic Name],Table1[[#This Row],[Mechanic Name]]),"")</f>
        <v/>
      </c>
    </row>
    <row r="683" spans="3:12" hidden="1" x14ac:dyDescent="0.35">
      <c r="C683" s="80"/>
      <c r="K683" s="81">
        <f>SUM(Table1[[#This Row],[Technical Knowledge]:[Repeat job nahin aana]])/6</f>
        <v>0</v>
      </c>
      <c r="L683" s="79" t="str">
        <f>IFERROR(AVERAGEIFS(Table1[Final Score],Table1[Month],Table1[[#This Row],[Month]],Table1[Year],Table1[[#This Row],[Year]],Table1[Mechanic Name],Table1[[#This Row],[Mechanic Name]]),"")</f>
        <v/>
      </c>
    </row>
    <row r="684" spans="3:12" hidden="1" x14ac:dyDescent="0.35">
      <c r="C684" s="80"/>
      <c r="K684" s="81">
        <f>SUM(Table1[[#This Row],[Technical Knowledge]:[Repeat job nahin aana]])/6</f>
        <v>0</v>
      </c>
      <c r="L684" s="79" t="str">
        <f>IFERROR(AVERAGEIFS(Table1[Final Score],Table1[Month],Table1[[#This Row],[Month]],Table1[Year],Table1[[#This Row],[Year]],Table1[Mechanic Name],Table1[[#This Row],[Mechanic Name]]),"")</f>
        <v/>
      </c>
    </row>
    <row r="685" spans="3:12" hidden="1" x14ac:dyDescent="0.35">
      <c r="C685" s="80"/>
      <c r="K685" s="81">
        <f>SUM(Table1[[#This Row],[Technical Knowledge]:[Repeat job nahin aana]])/6</f>
        <v>0</v>
      </c>
      <c r="L685" s="79" t="str">
        <f>IFERROR(AVERAGEIFS(Table1[Final Score],Table1[Month],Table1[[#This Row],[Month]],Table1[Year],Table1[[#This Row],[Year]],Table1[Mechanic Name],Table1[[#This Row],[Mechanic Name]]),"")</f>
        <v/>
      </c>
    </row>
    <row r="686" spans="3:12" hidden="1" x14ac:dyDescent="0.35">
      <c r="C686" s="80"/>
      <c r="K686" s="81">
        <f>SUM(Table1[[#This Row],[Technical Knowledge]:[Repeat job nahin aana]])/6</f>
        <v>0</v>
      </c>
      <c r="L686" s="79" t="str">
        <f>IFERROR(AVERAGEIFS(Table1[Final Score],Table1[Month],Table1[[#This Row],[Month]],Table1[Year],Table1[[#This Row],[Year]],Table1[Mechanic Name],Table1[[#This Row],[Mechanic Name]]),"")</f>
        <v/>
      </c>
    </row>
    <row r="687" spans="3:12" hidden="1" x14ac:dyDescent="0.35">
      <c r="C687" s="80"/>
      <c r="K687" s="81">
        <f>SUM(Table1[[#This Row],[Technical Knowledge]:[Repeat job nahin aana]])/6</f>
        <v>0</v>
      </c>
      <c r="L687" s="79" t="str">
        <f>IFERROR(AVERAGEIFS(Table1[Final Score],Table1[Month],Table1[[#This Row],[Month]],Table1[Year],Table1[[#This Row],[Year]],Table1[Mechanic Name],Table1[[#This Row],[Mechanic Name]]),"")</f>
        <v/>
      </c>
    </row>
    <row r="688" spans="3:12" hidden="1" x14ac:dyDescent="0.35">
      <c r="C688" s="80"/>
      <c r="K688" s="81">
        <f>SUM(Table1[[#This Row],[Technical Knowledge]:[Repeat job nahin aana]])/6</f>
        <v>0</v>
      </c>
      <c r="L688" s="79" t="str">
        <f>IFERROR(AVERAGEIFS(Table1[Final Score],Table1[Month],Table1[[#This Row],[Month]],Table1[Year],Table1[[#This Row],[Year]],Table1[Mechanic Name],Table1[[#This Row],[Mechanic Name]]),"")</f>
        <v/>
      </c>
    </row>
    <row r="689" spans="3:12" hidden="1" x14ac:dyDescent="0.35">
      <c r="C689" s="80"/>
      <c r="K689" s="81">
        <f>SUM(Table1[[#This Row],[Technical Knowledge]:[Repeat job nahin aana]])/6</f>
        <v>0</v>
      </c>
      <c r="L689" s="79" t="str">
        <f>IFERROR(AVERAGEIFS(Table1[Final Score],Table1[Month],Table1[[#This Row],[Month]],Table1[Year],Table1[[#This Row],[Year]],Table1[Mechanic Name],Table1[[#This Row],[Mechanic Name]]),"")</f>
        <v/>
      </c>
    </row>
    <row r="690" spans="3:12" hidden="1" x14ac:dyDescent="0.35">
      <c r="C690" s="80"/>
      <c r="K690" s="81">
        <f>SUM(Table1[[#This Row],[Technical Knowledge]:[Repeat job nahin aana]])/6</f>
        <v>0</v>
      </c>
      <c r="L690" s="79" t="str">
        <f>IFERROR(AVERAGEIFS(Table1[Final Score],Table1[Month],Table1[[#This Row],[Month]],Table1[Year],Table1[[#This Row],[Year]],Table1[Mechanic Name],Table1[[#This Row],[Mechanic Name]]),"")</f>
        <v/>
      </c>
    </row>
    <row r="691" spans="3:12" hidden="1" x14ac:dyDescent="0.35">
      <c r="C691" s="80"/>
      <c r="K691" s="81">
        <f>SUM(Table1[[#This Row],[Technical Knowledge]:[Repeat job nahin aana]])/6</f>
        <v>0</v>
      </c>
      <c r="L691" s="79" t="str">
        <f>IFERROR(AVERAGEIFS(Table1[Final Score],Table1[Month],Table1[[#This Row],[Month]],Table1[Year],Table1[[#This Row],[Year]],Table1[Mechanic Name],Table1[[#This Row],[Mechanic Name]]),"")</f>
        <v/>
      </c>
    </row>
    <row r="692" spans="3:12" hidden="1" x14ac:dyDescent="0.35">
      <c r="C692" s="80"/>
      <c r="K692" s="81">
        <f>SUM(Table1[[#This Row],[Technical Knowledge]:[Repeat job nahin aana]])/6</f>
        <v>0</v>
      </c>
      <c r="L692" s="79" t="str">
        <f>IFERROR(AVERAGEIFS(Table1[Final Score],Table1[Month],Table1[[#This Row],[Month]],Table1[Year],Table1[[#This Row],[Year]],Table1[Mechanic Name],Table1[[#This Row],[Mechanic Name]]),"")</f>
        <v/>
      </c>
    </row>
    <row r="693" spans="3:12" hidden="1" x14ac:dyDescent="0.35">
      <c r="C693" s="80"/>
      <c r="K693" s="81">
        <f>SUM(Table1[[#This Row],[Technical Knowledge]:[Repeat job nahin aana]])/6</f>
        <v>0</v>
      </c>
      <c r="L693" s="79" t="str">
        <f>IFERROR(AVERAGEIFS(Table1[Final Score],Table1[Month],Table1[[#This Row],[Month]],Table1[Year],Table1[[#This Row],[Year]],Table1[Mechanic Name],Table1[[#This Row],[Mechanic Name]]),"")</f>
        <v/>
      </c>
    </row>
    <row r="694" spans="3:12" hidden="1" x14ac:dyDescent="0.35">
      <c r="C694" s="80"/>
      <c r="K694" s="81">
        <f>SUM(Table1[[#This Row],[Technical Knowledge]:[Repeat job nahin aana]])/6</f>
        <v>0</v>
      </c>
      <c r="L694" s="79" t="str">
        <f>IFERROR(AVERAGEIFS(Table1[Final Score],Table1[Month],Table1[[#This Row],[Month]],Table1[Year],Table1[[#This Row],[Year]],Table1[Mechanic Name],Table1[[#This Row],[Mechanic Name]]),"")</f>
        <v/>
      </c>
    </row>
    <row r="695" spans="3:12" hidden="1" x14ac:dyDescent="0.35">
      <c r="C695" s="80"/>
      <c r="K695" s="81">
        <f>SUM(Table1[[#This Row],[Technical Knowledge]:[Repeat job nahin aana]])/6</f>
        <v>0</v>
      </c>
      <c r="L695" s="79" t="str">
        <f>IFERROR(AVERAGEIFS(Table1[Final Score],Table1[Month],Table1[[#This Row],[Month]],Table1[Year],Table1[[#This Row],[Year]],Table1[Mechanic Name],Table1[[#This Row],[Mechanic Name]]),"")</f>
        <v/>
      </c>
    </row>
    <row r="696" spans="3:12" hidden="1" x14ac:dyDescent="0.35">
      <c r="C696" s="80"/>
      <c r="K696" s="81">
        <f>SUM(Table1[[#This Row],[Technical Knowledge]:[Repeat job nahin aana]])/6</f>
        <v>0</v>
      </c>
      <c r="L696" s="79" t="str">
        <f>IFERROR(AVERAGEIFS(Table1[Final Score],Table1[Month],Table1[[#This Row],[Month]],Table1[Year],Table1[[#This Row],[Year]],Table1[Mechanic Name],Table1[[#This Row],[Mechanic Name]]),"")</f>
        <v/>
      </c>
    </row>
    <row r="697" spans="3:12" hidden="1" x14ac:dyDescent="0.35">
      <c r="C697" s="80"/>
      <c r="K697" s="81">
        <f>SUM(Table1[[#This Row],[Technical Knowledge]:[Repeat job nahin aana]])/6</f>
        <v>0</v>
      </c>
      <c r="L697" s="79" t="str">
        <f>IFERROR(AVERAGEIFS(Table1[Final Score],Table1[Month],Table1[[#This Row],[Month]],Table1[Year],Table1[[#This Row],[Year]],Table1[Mechanic Name],Table1[[#This Row],[Mechanic Name]]),"")</f>
        <v/>
      </c>
    </row>
    <row r="698" spans="3:12" hidden="1" x14ac:dyDescent="0.35">
      <c r="C698" s="80"/>
      <c r="K698" s="81">
        <f>SUM(Table1[[#This Row],[Technical Knowledge]:[Repeat job nahin aana]])/6</f>
        <v>0</v>
      </c>
      <c r="L698" s="79" t="str">
        <f>IFERROR(AVERAGEIFS(Table1[Final Score],Table1[Month],Table1[[#This Row],[Month]],Table1[Year],Table1[[#This Row],[Year]],Table1[Mechanic Name],Table1[[#This Row],[Mechanic Name]]),"")</f>
        <v/>
      </c>
    </row>
    <row r="699" spans="3:12" hidden="1" x14ac:dyDescent="0.35">
      <c r="C699" s="80"/>
      <c r="K699" s="81">
        <f>SUM(Table1[[#This Row],[Technical Knowledge]:[Repeat job nahin aana]])/6</f>
        <v>0</v>
      </c>
      <c r="L699" s="79" t="str">
        <f>IFERROR(AVERAGEIFS(Table1[Final Score],Table1[Month],Table1[[#This Row],[Month]],Table1[Year],Table1[[#This Row],[Year]],Table1[Mechanic Name],Table1[[#This Row],[Mechanic Name]]),"")</f>
        <v/>
      </c>
    </row>
    <row r="700" spans="3:12" hidden="1" x14ac:dyDescent="0.35">
      <c r="C700" s="80"/>
      <c r="K700" s="81">
        <f>SUM(Table1[[#This Row],[Technical Knowledge]:[Repeat job nahin aana]])/6</f>
        <v>0</v>
      </c>
      <c r="L700" s="79" t="str">
        <f>IFERROR(AVERAGEIFS(Table1[Final Score],Table1[Month],Table1[[#This Row],[Month]],Table1[Year],Table1[[#This Row],[Year]],Table1[Mechanic Name],Table1[[#This Row],[Mechanic Name]]),"")</f>
        <v/>
      </c>
    </row>
    <row r="701" spans="3:12" hidden="1" x14ac:dyDescent="0.35">
      <c r="C701" s="80"/>
      <c r="K701" s="81">
        <f>SUM(Table1[[#This Row],[Technical Knowledge]:[Repeat job nahin aana]])/6</f>
        <v>0</v>
      </c>
      <c r="L701" s="79" t="str">
        <f>IFERROR(AVERAGEIFS(Table1[Final Score],Table1[Month],Table1[[#This Row],[Month]],Table1[Year],Table1[[#This Row],[Year]],Table1[Mechanic Name],Table1[[#This Row],[Mechanic Name]]),"")</f>
        <v/>
      </c>
    </row>
    <row r="702" spans="3:12" hidden="1" x14ac:dyDescent="0.35">
      <c r="C702" s="80"/>
      <c r="K702" s="81">
        <f>SUM(Table1[[#This Row],[Technical Knowledge]:[Repeat job nahin aana]])/6</f>
        <v>0</v>
      </c>
      <c r="L702" s="79" t="str">
        <f>IFERROR(AVERAGEIFS(Table1[Final Score],Table1[Month],Table1[[#This Row],[Month]],Table1[Year],Table1[[#This Row],[Year]],Table1[Mechanic Name],Table1[[#This Row],[Mechanic Name]]),"")</f>
        <v/>
      </c>
    </row>
    <row r="703" spans="3:12" hidden="1" x14ac:dyDescent="0.35">
      <c r="C703" s="80"/>
      <c r="K703" s="81">
        <f>SUM(Table1[[#This Row],[Technical Knowledge]:[Repeat job nahin aana]])/6</f>
        <v>0</v>
      </c>
      <c r="L703" s="79" t="str">
        <f>IFERROR(AVERAGEIFS(Table1[Final Score],Table1[Month],Table1[[#This Row],[Month]],Table1[Year],Table1[[#This Row],[Year]],Table1[Mechanic Name],Table1[[#This Row],[Mechanic Name]]),"")</f>
        <v/>
      </c>
    </row>
    <row r="704" spans="3:12" hidden="1" x14ac:dyDescent="0.35">
      <c r="C704" s="80"/>
      <c r="K704" s="81">
        <f>SUM(Table1[[#This Row],[Technical Knowledge]:[Repeat job nahin aana]])/6</f>
        <v>0</v>
      </c>
      <c r="L704" s="79" t="str">
        <f>IFERROR(AVERAGEIFS(Table1[Final Score],Table1[Month],Table1[[#This Row],[Month]],Table1[Year],Table1[[#This Row],[Year]],Table1[Mechanic Name],Table1[[#This Row],[Mechanic Name]]),"")</f>
        <v/>
      </c>
    </row>
    <row r="705" spans="3:12" hidden="1" x14ac:dyDescent="0.35">
      <c r="C705" s="80"/>
      <c r="K705" s="81">
        <f>SUM(Table1[[#This Row],[Technical Knowledge]:[Repeat job nahin aana]])/6</f>
        <v>0</v>
      </c>
      <c r="L705" s="79" t="str">
        <f>IFERROR(AVERAGEIFS(Table1[Final Score],Table1[Month],Table1[[#This Row],[Month]],Table1[Year],Table1[[#This Row],[Year]],Table1[Mechanic Name],Table1[[#This Row],[Mechanic Name]]),"")</f>
        <v/>
      </c>
    </row>
    <row r="706" spans="3:12" hidden="1" x14ac:dyDescent="0.35">
      <c r="C706" s="80"/>
      <c r="K706" s="81">
        <f>SUM(Table1[[#This Row],[Technical Knowledge]:[Repeat job nahin aana]])/6</f>
        <v>0</v>
      </c>
      <c r="L706" s="79" t="str">
        <f>IFERROR(AVERAGEIFS(Table1[Final Score],Table1[Month],Table1[[#This Row],[Month]],Table1[Year],Table1[[#This Row],[Year]],Table1[Mechanic Name],Table1[[#This Row],[Mechanic Name]]),"")</f>
        <v/>
      </c>
    </row>
    <row r="707" spans="3:12" hidden="1" x14ac:dyDescent="0.35">
      <c r="C707" s="80"/>
      <c r="K707" s="81">
        <f>SUM(Table1[[#This Row],[Technical Knowledge]:[Repeat job nahin aana]])/6</f>
        <v>0</v>
      </c>
      <c r="L707" s="79" t="str">
        <f>IFERROR(AVERAGEIFS(Table1[Final Score],Table1[Month],Table1[[#This Row],[Month]],Table1[Year],Table1[[#This Row],[Year]],Table1[Mechanic Name],Table1[[#This Row],[Mechanic Name]]),"")</f>
        <v/>
      </c>
    </row>
    <row r="708" spans="3:12" hidden="1" x14ac:dyDescent="0.35">
      <c r="C708" s="80"/>
      <c r="K708" s="81">
        <f>SUM(Table1[[#This Row],[Technical Knowledge]:[Repeat job nahin aana]])/6</f>
        <v>0</v>
      </c>
      <c r="L708" s="79" t="str">
        <f>IFERROR(AVERAGEIFS(Table1[Final Score],Table1[Month],Table1[[#This Row],[Month]],Table1[Year],Table1[[#This Row],[Year]],Table1[Mechanic Name],Table1[[#This Row],[Mechanic Name]]),"")</f>
        <v/>
      </c>
    </row>
    <row r="709" spans="3:12" hidden="1" x14ac:dyDescent="0.35">
      <c r="C709" s="80"/>
      <c r="K709" s="81">
        <f>SUM(Table1[[#This Row],[Technical Knowledge]:[Repeat job nahin aana]])/6</f>
        <v>0</v>
      </c>
      <c r="L709" s="79" t="str">
        <f>IFERROR(AVERAGEIFS(Table1[Final Score],Table1[Month],Table1[[#This Row],[Month]],Table1[Year],Table1[[#This Row],[Year]],Table1[Mechanic Name],Table1[[#This Row],[Mechanic Name]]),"")</f>
        <v/>
      </c>
    </row>
    <row r="710" spans="3:12" hidden="1" x14ac:dyDescent="0.35">
      <c r="C710" s="80"/>
      <c r="K710" s="81">
        <f>SUM(Table1[[#This Row],[Technical Knowledge]:[Repeat job nahin aana]])/6</f>
        <v>0</v>
      </c>
      <c r="L710" s="79" t="str">
        <f>IFERROR(AVERAGEIFS(Table1[Final Score],Table1[Month],Table1[[#This Row],[Month]],Table1[Year],Table1[[#This Row],[Year]],Table1[Mechanic Name],Table1[[#This Row],[Mechanic Name]]),"")</f>
        <v/>
      </c>
    </row>
    <row r="711" spans="3:12" hidden="1" x14ac:dyDescent="0.35">
      <c r="C711" s="80"/>
      <c r="K711" s="81">
        <f>SUM(Table1[[#This Row],[Technical Knowledge]:[Repeat job nahin aana]])/6</f>
        <v>0</v>
      </c>
      <c r="L711" s="79" t="str">
        <f>IFERROR(AVERAGEIFS(Table1[Final Score],Table1[Month],Table1[[#This Row],[Month]],Table1[Year],Table1[[#This Row],[Year]],Table1[Mechanic Name],Table1[[#This Row],[Mechanic Name]]),"")</f>
        <v/>
      </c>
    </row>
    <row r="712" spans="3:12" hidden="1" x14ac:dyDescent="0.35">
      <c r="C712" s="80"/>
      <c r="K712" s="81">
        <f>SUM(Table1[[#This Row],[Technical Knowledge]:[Repeat job nahin aana]])/6</f>
        <v>0</v>
      </c>
      <c r="L712" s="79" t="str">
        <f>IFERROR(AVERAGEIFS(Table1[Final Score],Table1[Month],Table1[[#This Row],[Month]],Table1[Year],Table1[[#This Row],[Year]],Table1[Mechanic Name],Table1[[#This Row],[Mechanic Name]]),"")</f>
        <v/>
      </c>
    </row>
    <row r="713" spans="3:12" hidden="1" x14ac:dyDescent="0.35">
      <c r="C713" s="80"/>
      <c r="K713" s="81">
        <f>SUM(Table1[[#This Row],[Technical Knowledge]:[Repeat job nahin aana]])/6</f>
        <v>0</v>
      </c>
      <c r="L713" s="79" t="str">
        <f>IFERROR(AVERAGEIFS(Table1[Final Score],Table1[Month],Table1[[#This Row],[Month]],Table1[Year],Table1[[#This Row],[Year]],Table1[Mechanic Name],Table1[[#This Row],[Mechanic Name]]),"")</f>
        <v/>
      </c>
    </row>
    <row r="714" spans="3:12" hidden="1" x14ac:dyDescent="0.35">
      <c r="C714" s="80"/>
      <c r="K714" s="81">
        <f>SUM(Table1[[#This Row],[Technical Knowledge]:[Repeat job nahin aana]])/6</f>
        <v>0</v>
      </c>
      <c r="L714" s="79" t="str">
        <f>IFERROR(AVERAGEIFS(Table1[Final Score],Table1[Month],Table1[[#This Row],[Month]],Table1[Year],Table1[[#This Row],[Year]],Table1[Mechanic Name],Table1[[#This Row],[Mechanic Name]]),"")</f>
        <v/>
      </c>
    </row>
    <row r="715" spans="3:12" hidden="1" x14ac:dyDescent="0.35">
      <c r="C715" s="80"/>
      <c r="K715" s="81">
        <f>SUM(Table1[[#This Row],[Technical Knowledge]:[Repeat job nahin aana]])/6</f>
        <v>0</v>
      </c>
      <c r="L715" s="79" t="str">
        <f>IFERROR(AVERAGEIFS(Table1[Final Score],Table1[Month],Table1[[#This Row],[Month]],Table1[Year],Table1[[#This Row],[Year]],Table1[Mechanic Name],Table1[[#This Row],[Mechanic Name]]),"")</f>
        <v/>
      </c>
    </row>
    <row r="716" spans="3:12" hidden="1" x14ac:dyDescent="0.35">
      <c r="C716" s="80"/>
      <c r="K716" s="81">
        <f>SUM(Table1[[#This Row],[Technical Knowledge]:[Repeat job nahin aana]])/6</f>
        <v>0</v>
      </c>
      <c r="L716" s="79" t="str">
        <f>IFERROR(AVERAGEIFS(Table1[Final Score],Table1[Month],Table1[[#This Row],[Month]],Table1[Year],Table1[[#This Row],[Year]],Table1[Mechanic Name],Table1[[#This Row],[Mechanic Name]]),"")</f>
        <v/>
      </c>
    </row>
    <row r="717" spans="3:12" hidden="1" x14ac:dyDescent="0.35">
      <c r="C717" s="80"/>
      <c r="K717" s="81">
        <f>SUM(Table1[[#This Row],[Technical Knowledge]:[Repeat job nahin aana]])/6</f>
        <v>0</v>
      </c>
      <c r="L717" s="79" t="str">
        <f>IFERROR(AVERAGEIFS(Table1[Final Score],Table1[Month],Table1[[#This Row],[Month]],Table1[Year],Table1[[#This Row],[Year]],Table1[Mechanic Name],Table1[[#This Row],[Mechanic Name]]),"")</f>
        <v/>
      </c>
    </row>
    <row r="718" spans="3:12" hidden="1" x14ac:dyDescent="0.35">
      <c r="C718" s="80"/>
      <c r="K718" s="81">
        <f>SUM(Table1[[#This Row],[Technical Knowledge]:[Repeat job nahin aana]])/6</f>
        <v>0</v>
      </c>
      <c r="L718" s="79" t="str">
        <f>IFERROR(AVERAGEIFS(Table1[Final Score],Table1[Month],Table1[[#This Row],[Month]],Table1[Year],Table1[[#This Row],[Year]],Table1[Mechanic Name],Table1[[#This Row],[Mechanic Name]]),"")</f>
        <v/>
      </c>
    </row>
    <row r="719" spans="3:12" hidden="1" x14ac:dyDescent="0.35">
      <c r="C719" s="80"/>
      <c r="K719" s="81">
        <f>SUM(Table1[[#This Row],[Technical Knowledge]:[Repeat job nahin aana]])/6</f>
        <v>0</v>
      </c>
      <c r="L719" s="79" t="str">
        <f>IFERROR(AVERAGEIFS(Table1[Final Score],Table1[Month],Table1[[#This Row],[Month]],Table1[Year],Table1[[#This Row],[Year]],Table1[Mechanic Name],Table1[[#This Row],[Mechanic Name]]),"")</f>
        <v/>
      </c>
    </row>
    <row r="720" spans="3:12" hidden="1" x14ac:dyDescent="0.35">
      <c r="C720" s="80"/>
      <c r="K720" s="81">
        <f>SUM(Table1[[#This Row],[Technical Knowledge]:[Repeat job nahin aana]])/6</f>
        <v>0</v>
      </c>
      <c r="L720" s="79" t="str">
        <f>IFERROR(AVERAGEIFS(Table1[Final Score],Table1[Month],Table1[[#This Row],[Month]],Table1[Year],Table1[[#This Row],[Year]],Table1[Mechanic Name],Table1[[#This Row],[Mechanic Name]]),"")</f>
        <v/>
      </c>
    </row>
    <row r="721" spans="3:12" hidden="1" x14ac:dyDescent="0.35">
      <c r="C721" s="80"/>
      <c r="K721" s="81">
        <f>SUM(Table1[[#This Row],[Technical Knowledge]:[Repeat job nahin aana]])/6</f>
        <v>0</v>
      </c>
      <c r="L721" s="79" t="str">
        <f>IFERROR(AVERAGEIFS(Table1[Final Score],Table1[Month],Table1[[#This Row],[Month]],Table1[Year],Table1[[#This Row],[Year]],Table1[Mechanic Name],Table1[[#This Row],[Mechanic Name]]),"")</f>
        <v/>
      </c>
    </row>
    <row r="722" spans="3:12" hidden="1" x14ac:dyDescent="0.35">
      <c r="C722" s="80"/>
      <c r="K722" s="81">
        <f>SUM(Table1[[#This Row],[Technical Knowledge]:[Repeat job nahin aana]])/6</f>
        <v>0</v>
      </c>
      <c r="L722" s="79" t="str">
        <f>IFERROR(AVERAGEIFS(Table1[Final Score],Table1[Month],Table1[[#This Row],[Month]],Table1[Year],Table1[[#This Row],[Year]],Table1[Mechanic Name],Table1[[#This Row],[Mechanic Name]]),"")</f>
        <v/>
      </c>
    </row>
    <row r="723" spans="3:12" hidden="1" x14ac:dyDescent="0.35">
      <c r="C723" s="80"/>
      <c r="K723" s="81">
        <f>SUM(Table1[[#This Row],[Technical Knowledge]:[Repeat job nahin aana]])/6</f>
        <v>0</v>
      </c>
      <c r="L723" s="79" t="str">
        <f>IFERROR(AVERAGEIFS(Table1[Final Score],Table1[Month],Table1[[#This Row],[Month]],Table1[Year],Table1[[#This Row],[Year]],Table1[Mechanic Name],Table1[[#This Row],[Mechanic Name]]),"")</f>
        <v/>
      </c>
    </row>
    <row r="724" spans="3:12" hidden="1" x14ac:dyDescent="0.35">
      <c r="C724" s="80"/>
      <c r="K724" s="81">
        <f>SUM(Table1[[#This Row],[Technical Knowledge]:[Repeat job nahin aana]])/6</f>
        <v>0</v>
      </c>
      <c r="L724" s="79" t="str">
        <f>IFERROR(AVERAGEIFS(Table1[Final Score],Table1[Month],Table1[[#This Row],[Month]],Table1[Year],Table1[[#This Row],[Year]],Table1[Mechanic Name],Table1[[#This Row],[Mechanic Name]]),"")</f>
        <v/>
      </c>
    </row>
    <row r="725" spans="3:12" hidden="1" x14ac:dyDescent="0.35">
      <c r="C725" s="80"/>
      <c r="K725" s="81">
        <f>SUM(Table1[[#This Row],[Technical Knowledge]:[Repeat job nahin aana]])/6</f>
        <v>0</v>
      </c>
      <c r="L725" s="79" t="str">
        <f>IFERROR(AVERAGEIFS(Table1[Final Score],Table1[Month],Table1[[#This Row],[Month]],Table1[Year],Table1[[#This Row],[Year]],Table1[Mechanic Name],Table1[[#This Row],[Mechanic Name]]),"")</f>
        <v/>
      </c>
    </row>
    <row r="726" spans="3:12" hidden="1" x14ac:dyDescent="0.35">
      <c r="C726" s="80"/>
      <c r="K726" s="81">
        <f>SUM(Table1[[#This Row],[Technical Knowledge]:[Repeat job nahin aana]])/6</f>
        <v>0</v>
      </c>
      <c r="L726" s="79" t="str">
        <f>IFERROR(AVERAGEIFS(Table1[Final Score],Table1[Month],Table1[[#This Row],[Month]],Table1[Year],Table1[[#This Row],[Year]],Table1[Mechanic Name],Table1[[#This Row],[Mechanic Name]]),"")</f>
        <v/>
      </c>
    </row>
    <row r="727" spans="3:12" hidden="1" x14ac:dyDescent="0.35">
      <c r="C727" s="80"/>
      <c r="K727" s="81">
        <f>SUM(Table1[[#This Row],[Technical Knowledge]:[Repeat job nahin aana]])/6</f>
        <v>0</v>
      </c>
      <c r="L727" s="79" t="str">
        <f>IFERROR(AVERAGEIFS(Table1[Final Score],Table1[Month],Table1[[#This Row],[Month]],Table1[Year],Table1[[#This Row],[Year]],Table1[Mechanic Name],Table1[[#This Row],[Mechanic Name]]),"")</f>
        <v/>
      </c>
    </row>
    <row r="728" spans="3:12" hidden="1" x14ac:dyDescent="0.35">
      <c r="C728" s="80"/>
      <c r="K728" s="81">
        <f>SUM(Table1[[#This Row],[Technical Knowledge]:[Repeat job nahin aana]])/6</f>
        <v>0</v>
      </c>
      <c r="L728" s="79" t="str">
        <f>IFERROR(AVERAGEIFS(Table1[Final Score],Table1[Month],Table1[[#This Row],[Month]],Table1[Year],Table1[[#This Row],[Year]],Table1[Mechanic Name],Table1[[#This Row],[Mechanic Name]]),"")</f>
        <v/>
      </c>
    </row>
    <row r="729" spans="3:12" hidden="1" x14ac:dyDescent="0.35">
      <c r="C729" s="80"/>
      <c r="K729" s="81">
        <f>SUM(Table1[[#This Row],[Technical Knowledge]:[Repeat job nahin aana]])/6</f>
        <v>0</v>
      </c>
      <c r="L729" s="79" t="str">
        <f>IFERROR(AVERAGEIFS(Table1[Final Score],Table1[Month],Table1[[#This Row],[Month]],Table1[Year],Table1[[#This Row],[Year]],Table1[Mechanic Name],Table1[[#This Row],[Mechanic Name]]),"")</f>
        <v/>
      </c>
    </row>
    <row r="730" spans="3:12" hidden="1" x14ac:dyDescent="0.35">
      <c r="C730" s="80"/>
      <c r="K730" s="81">
        <f>SUM(Table1[[#This Row],[Technical Knowledge]:[Repeat job nahin aana]])/6</f>
        <v>0</v>
      </c>
      <c r="L730" s="79" t="str">
        <f>IFERROR(AVERAGEIFS(Table1[Final Score],Table1[Month],Table1[[#This Row],[Month]],Table1[Year],Table1[[#This Row],[Year]],Table1[Mechanic Name],Table1[[#This Row],[Mechanic Name]]),"")</f>
        <v/>
      </c>
    </row>
    <row r="731" spans="3:12" hidden="1" x14ac:dyDescent="0.35">
      <c r="C731" s="80"/>
      <c r="K731" s="81">
        <f>SUM(Table1[[#This Row],[Technical Knowledge]:[Repeat job nahin aana]])/6</f>
        <v>0</v>
      </c>
      <c r="L731" s="79" t="str">
        <f>IFERROR(AVERAGEIFS(Table1[Final Score],Table1[Month],Table1[[#This Row],[Month]],Table1[Year],Table1[[#This Row],[Year]],Table1[Mechanic Name],Table1[[#This Row],[Mechanic Name]]),"")</f>
        <v/>
      </c>
    </row>
    <row r="732" spans="3:12" hidden="1" x14ac:dyDescent="0.35">
      <c r="C732" s="80"/>
      <c r="K732" s="81">
        <f>SUM(Table1[[#This Row],[Technical Knowledge]:[Repeat job nahin aana]])/6</f>
        <v>0</v>
      </c>
      <c r="L732" s="79" t="str">
        <f>IFERROR(AVERAGEIFS(Table1[Final Score],Table1[Month],Table1[[#This Row],[Month]],Table1[Year],Table1[[#This Row],[Year]],Table1[Mechanic Name],Table1[[#This Row],[Mechanic Name]]),"")</f>
        <v/>
      </c>
    </row>
    <row r="733" spans="3:12" hidden="1" x14ac:dyDescent="0.35">
      <c r="C733" s="80"/>
      <c r="K733" s="81">
        <f>SUM(Table1[[#This Row],[Technical Knowledge]:[Repeat job nahin aana]])/6</f>
        <v>0</v>
      </c>
      <c r="L733" s="79" t="str">
        <f>IFERROR(AVERAGEIFS(Table1[Final Score],Table1[Month],Table1[[#This Row],[Month]],Table1[Year],Table1[[#This Row],[Year]],Table1[Mechanic Name],Table1[[#This Row],[Mechanic Name]]),"")</f>
        <v/>
      </c>
    </row>
    <row r="734" spans="3:12" hidden="1" x14ac:dyDescent="0.35">
      <c r="C734" s="80"/>
      <c r="K734" s="81">
        <f>SUM(Table1[[#This Row],[Technical Knowledge]:[Repeat job nahin aana]])/6</f>
        <v>0</v>
      </c>
      <c r="L734" s="79" t="str">
        <f>IFERROR(AVERAGEIFS(Table1[Final Score],Table1[Month],Table1[[#This Row],[Month]],Table1[Year],Table1[[#This Row],[Year]],Table1[Mechanic Name],Table1[[#This Row],[Mechanic Name]]),"")</f>
        <v/>
      </c>
    </row>
    <row r="735" spans="3:12" hidden="1" x14ac:dyDescent="0.35">
      <c r="C735" s="80"/>
      <c r="K735" s="81">
        <f>SUM(Table1[[#This Row],[Technical Knowledge]:[Repeat job nahin aana]])/6</f>
        <v>0</v>
      </c>
      <c r="L735" s="79" t="str">
        <f>IFERROR(AVERAGEIFS(Table1[Final Score],Table1[Month],Table1[[#This Row],[Month]],Table1[Year],Table1[[#This Row],[Year]],Table1[Mechanic Name],Table1[[#This Row],[Mechanic Name]]),"")</f>
        <v/>
      </c>
    </row>
    <row r="736" spans="3:12" hidden="1" x14ac:dyDescent="0.35">
      <c r="C736" s="80"/>
      <c r="K736" s="81">
        <f>SUM(Table1[[#This Row],[Technical Knowledge]:[Repeat job nahin aana]])/6</f>
        <v>0</v>
      </c>
      <c r="L736" s="79" t="str">
        <f>IFERROR(AVERAGEIFS(Table1[Final Score],Table1[Month],Table1[[#This Row],[Month]],Table1[Year],Table1[[#This Row],[Year]],Table1[Mechanic Name],Table1[[#This Row],[Mechanic Name]]),"")</f>
        <v/>
      </c>
    </row>
    <row r="737" spans="3:12" hidden="1" x14ac:dyDescent="0.35">
      <c r="C737" s="80"/>
      <c r="K737" s="81">
        <f>SUM(Table1[[#This Row],[Technical Knowledge]:[Repeat job nahin aana]])/6</f>
        <v>0</v>
      </c>
      <c r="L737" s="79" t="str">
        <f>IFERROR(AVERAGEIFS(Table1[Final Score],Table1[Month],Table1[[#This Row],[Month]],Table1[Year],Table1[[#This Row],[Year]],Table1[Mechanic Name],Table1[[#This Row],[Mechanic Name]]),"")</f>
        <v/>
      </c>
    </row>
    <row r="738" spans="3:12" hidden="1" x14ac:dyDescent="0.35">
      <c r="C738" s="80"/>
      <c r="K738" s="81">
        <f>SUM(Table1[[#This Row],[Technical Knowledge]:[Repeat job nahin aana]])/6</f>
        <v>0</v>
      </c>
      <c r="L738" s="79" t="str">
        <f>IFERROR(AVERAGEIFS(Table1[Final Score],Table1[Month],Table1[[#This Row],[Month]],Table1[Year],Table1[[#This Row],[Year]],Table1[Mechanic Name],Table1[[#This Row],[Mechanic Name]]),"")</f>
        <v/>
      </c>
    </row>
    <row r="739" spans="3:12" hidden="1" x14ac:dyDescent="0.35">
      <c r="C739" s="80"/>
      <c r="K739" s="81">
        <f>SUM(Table1[[#This Row],[Technical Knowledge]:[Repeat job nahin aana]])/6</f>
        <v>0</v>
      </c>
      <c r="L739" s="79" t="str">
        <f>IFERROR(AVERAGEIFS(Table1[Final Score],Table1[Month],Table1[[#This Row],[Month]],Table1[Year],Table1[[#This Row],[Year]],Table1[Mechanic Name],Table1[[#This Row],[Mechanic Name]]),"")</f>
        <v/>
      </c>
    </row>
    <row r="740" spans="3:12" hidden="1" x14ac:dyDescent="0.35">
      <c r="C740" s="80"/>
      <c r="K740" s="81">
        <f>SUM(Table1[[#This Row],[Technical Knowledge]:[Repeat job nahin aana]])/6</f>
        <v>0</v>
      </c>
      <c r="L740" s="79" t="str">
        <f>IFERROR(AVERAGEIFS(Table1[Final Score],Table1[Month],Table1[[#This Row],[Month]],Table1[Year],Table1[[#This Row],[Year]],Table1[Mechanic Name],Table1[[#This Row],[Mechanic Name]]),"")</f>
        <v/>
      </c>
    </row>
    <row r="741" spans="3:12" hidden="1" x14ac:dyDescent="0.35">
      <c r="C741" s="80"/>
      <c r="K741" s="81">
        <f>SUM(Table1[[#This Row],[Technical Knowledge]:[Repeat job nahin aana]])/6</f>
        <v>0</v>
      </c>
      <c r="L741" s="79" t="str">
        <f>IFERROR(AVERAGEIFS(Table1[Final Score],Table1[Month],Table1[[#This Row],[Month]],Table1[Year],Table1[[#This Row],[Year]],Table1[Mechanic Name],Table1[[#This Row],[Mechanic Name]]),"")</f>
        <v/>
      </c>
    </row>
    <row r="742" spans="3:12" hidden="1" x14ac:dyDescent="0.35">
      <c r="C742" s="80"/>
      <c r="K742" s="81">
        <f>SUM(Table1[[#This Row],[Technical Knowledge]:[Repeat job nahin aana]])/6</f>
        <v>0</v>
      </c>
      <c r="L742" s="79" t="str">
        <f>IFERROR(AVERAGEIFS(Table1[Final Score],Table1[Month],Table1[[#This Row],[Month]],Table1[Year],Table1[[#This Row],[Year]],Table1[Mechanic Name],Table1[[#This Row],[Mechanic Name]]),"")</f>
        <v/>
      </c>
    </row>
    <row r="743" spans="3:12" hidden="1" x14ac:dyDescent="0.35">
      <c r="C743" s="80"/>
      <c r="K743" s="81">
        <f>SUM(Table1[[#This Row],[Technical Knowledge]:[Repeat job nahin aana]])/6</f>
        <v>0</v>
      </c>
      <c r="L743" s="79" t="str">
        <f>IFERROR(AVERAGEIFS(Table1[Final Score],Table1[Month],Table1[[#This Row],[Month]],Table1[Year],Table1[[#This Row],[Year]],Table1[Mechanic Name],Table1[[#This Row],[Mechanic Name]]),"")</f>
        <v/>
      </c>
    </row>
    <row r="744" spans="3:12" hidden="1" x14ac:dyDescent="0.35">
      <c r="C744" s="80"/>
      <c r="K744" s="81">
        <f>SUM(Table1[[#This Row],[Technical Knowledge]:[Repeat job nahin aana]])/6</f>
        <v>0</v>
      </c>
      <c r="L744" s="79" t="str">
        <f>IFERROR(AVERAGEIFS(Table1[Final Score],Table1[Month],Table1[[#This Row],[Month]],Table1[Year],Table1[[#This Row],[Year]],Table1[Mechanic Name],Table1[[#This Row],[Mechanic Name]]),"")</f>
        <v/>
      </c>
    </row>
    <row r="745" spans="3:12" hidden="1" x14ac:dyDescent="0.35">
      <c r="C745" s="80"/>
      <c r="K745" s="81">
        <f>SUM(Table1[[#This Row],[Technical Knowledge]:[Repeat job nahin aana]])/6</f>
        <v>0</v>
      </c>
      <c r="L745" s="79" t="str">
        <f>IFERROR(AVERAGEIFS(Table1[Final Score],Table1[Month],Table1[[#This Row],[Month]],Table1[Year],Table1[[#This Row],[Year]],Table1[Mechanic Name],Table1[[#This Row],[Mechanic Name]]),"")</f>
        <v/>
      </c>
    </row>
    <row r="746" spans="3:12" hidden="1" x14ac:dyDescent="0.35">
      <c r="C746" s="80"/>
      <c r="K746" s="81">
        <f>SUM(Table1[[#This Row],[Technical Knowledge]:[Repeat job nahin aana]])/6</f>
        <v>0</v>
      </c>
      <c r="L746" s="79" t="str">
        <f>IFERROR(AVERAGEIFS(Table1[Final Score],Table1[Month],Table1[[#This Row],[Month]],Table1[Year],Table1[[#This Row],[Year]],Table1[Mechanic Name],Table1[[#This Row],[Mechanic Name]]),"")</f>
        <v/>
      </c>
    </row>
    <row r="747" spans="3:12" hidden="1" x14ac:dyDescent="0.35">
      <c r="C747" s="80"/>
      <c r="K747" s="81">
        <f>SUM(Table1[[#This Row],[Technical Knowledge]:[Repeat job nahin aana]])/6</f>
        <v>0</v>
      </c>
      <c r="L747" s="79" t="str">
        <f>IFERROR(AVERAGEIFS(Table1[Final Score],Table1[Month],Table1[[#This Row],[Month]],Table1[Year],Table1[[#This Row],[Year]],Table1[Mechanic Name],Table1[[#This Row],[Mechanic Name]]),"")</f>
        <v/>
      </c>
    </row>
    <row r="748" spans="3:12" hidden="1" x14ac:dyDescent="0.35">
      <c r="C748" s="80"/>
      <c r="K748" s="81">
        <f>SUM(Table1[[#This Row],[Technical Knowledge]:[Repeat job nahin aana]])/6</f>
        <v>0</v>
      </c>
      <c r="L748" s="79" t="str">
        <f>IFERROR(AVERAGEIFS(Table1[Final Score],Table1[Month],Table1[[#This Row],[Month]],Table1[Year],Table1[[#This Row],[Year]],Table1[Mechanic Name],Table1[[#This Row],[Mechanic Name]]),"")</f>
        <v/>
      </c>
    </row>
    <row r="749" spans="3:12" hidden="1" x14ac:dyDescent="0.35">
      <c r="C749" s="80"/>
      <c r="K749" s="81">
        <f>SUM(Table1[[#This Row],[Technical Knowledge]:[Repeat job nahin aana]])/6</f>
        <v>0</v>
      </c>
      <c r="L749" s="79" t="str">
        <f>IFERROR(AVERAGEIFS(Table1[Final Score],Table1[Month],Table1[[#This Row],[Month]],Table1[Year],Table1[[#This Row],[Year]],Table1[Mechanic Name],Table1[[#This Row],[Mechanic Name]]),"")</f>
        <v/>
      </c>
    </row>
    <row r="750" spans="3:12" hidden="1" x14ac:dyDescent="0.35">
      <c r="C750" s="80"/>
      <c r="K750" s="81">
        <f>SUM(Table1[[#This Row],[Technical Knowledge]:[Repeat job nahin aana]])/6</f>
        <v>0</v>
      </c>
      <c r="L750" s="79" t="str">
        <f>IFERROR(AVERAGEIFS(Table1[Final Score],Table1[Month],Table1[[#This Row],[Month]],Table1[Year],Table1[[#This Row],[Year]],Table1[Mechanic Name],Table1[[#This Row],[Mechanic Name]]),"")</f>
        <v/>
      </c>
    </row>
    <row r="751" spans="3:12" hidden="1" x14ac:dyDescent="0.35">
      <c r="C751" s="80"/>
      <c r="K751" s="81">
        <f>SUM(Table1[[#This Row],[Technical Knowledge]:[Repeat job nahin aana]])/6</f>
        <v>0</v>
      </c>
      <c r="L751" s="79" t="str">
        <f>IFERROR(AVERAGEIFS(Table1[Final Score],Table1[Month],Table1[[#This Row],[Month]],Table1[Year],Table1[[#This Row],[Year]],Table1[Mechanic Name],Table1[[#This Row],[Mechanic Name]]),"")</f>
        <v/>
      </c>
    </row>
    <row r="752" spans="3:12" hidden="1" x14ac:dyDescent="0.35">
      <c r="C752" s="80"/>
      <c r="K752" s="81">
        <f>SUM(Table1[[#This Row],[Technical Knowledge]:[Repeat job nahin aana]])/6</f>
        <v>0</v>
      </c>
      <c r="L752" s="79" t="str">
        <f>IFERROR(AVERAGEIFS(Table1[Final Score],Table1[Month],Table1[[#This Row],[Month]],Table1[Year],Table1[[#This Row],[Year]],Table1[Mechanic Name],Table1[[#This Row],[Mechanic Name]]),"")</f>
        <v/>
      </c>
    </row>
    <row r="753" spans="3:12" hidden="1" x14ac:dyDescent="0.35">
      <c r="C753" s="80"/>
      <c r="K753" s="81">
        <f>SUM(Table1[[#This Row],[Technical Knowledge]:[Repeat job nahin aana]])/6</f>
        <v>0</v>
      </c>
      <c r="L753" s="79" t="str">
        <f>IFERROR(AVERAGEIFS(Table1[Final Score],Table1[Month],Table1[[#This Row],[Month]],Table1[Year],Table1[[#This Row],[Year]],Table1[Mechanic Name],Table1[[#This Row],[Mechanic Name]]),"")</f>
        <v/>
      </c>
    </row>
    <row r="754" spans="3:12" hidden="1" x14ac:dyDescent="0.35">
      <c r="C754" s="80"/>
      <c r="K754" s="81">
        <f>SUM(Table1[[#This Row],[Technical Knowledge]:[Repeat job nahin aana]])/6</f>
        <v>0</v>
      </c>
      <c r="L754" s="79" t="str">
        <f>IFERROR(AVERAGEIFS(Table1[Final Score],Table1[Month],Table1[[#This Row],[Month]],Table1[Year],Table1[[#This Row],[Year]],Table1[Mechanic Name],Table1[[#This Row],[Mechanic Name]]),"")</f>
        <v/>
      </c>
    </row>
    <row r="755" spans="3:12" hidden="1" x14ac:dyDescent="0.35">
      <c r="C755" s="80"/>
      <c r="K755" s="81">
        <f>SUM(Table1[[#This Row],[Technical Knowledge]:[Repeat job nahin aana]])/6</f>
        <v>0</v>
      </c>
      <c r="L755" s="79" t="str">
        <f>IFERROR(AVERAGEIFS(Table1[Final Score],Table1[Month],Table1[[#This Row],[Month]],Table1[Year],Table1[[#This Row],[Year]],Table1[Mechanic Name],Table1[[#This Row],[Mechanic Name]]),"")</f>
        <v/>
      </c>
    </row>
    <row r="756" spans="3:12" hidden="1" x14ac:dyDescent="0.35">
      <c r="C756" s="80"/>
      <c r="K756" s="81">
        <f>SUM(Table1[[#This Row],[Technical Knowledge]:[Repeat job nahin aana]])/6</f>
        <v>0</v>
      </c>
      <c r="L756" s="79" t="str">
        <f>IFERROR(AVERAGEIFS(Table1[Final Score],Table1[Month],Table1[[#This Row],[Month]],Table1[Year],Table1[[#This Row],[Year]],Table1[Mechanic Name],Table1[[#This Row],[Mechanic Name]]),"")</f>
        <v/>
      </c>
    </row>
    <row r="757" spans="3:12" hidden="1" x14ac:dyDescent="0.35">
      <c r="C757" s="80"/>
      <c r="K757" s="81">
        <f>SUM(Table1[[#This Row],[Technical Knowledge]:[Repeat job nahin aana]])/6</f>
        <v>0</v>
      </c>
      <c r="L757" s="79" t="str">
        <f>IFERROR(AVERAGEIFS(Table1[Final Score],Table1[Month],Table1[[#This Row],[Month]],Table1[Year],Table1[[#This Row],[Year]],Table1[Mechanic Name],Table1[[#This Row],[Mechanic Name]]),"")</f>
        <v/>
      </c>
    </row>
    <row r="758" spans="3:12" hidden="1" x14ac:dyDescent="0.35">
      <c r="C758" s="80"/>
      <c r="K758" s="81">
        <f>SUM(Table1[[#This Row],[Technical Knowledge]:[Repeat job nahin aana]])/6</f>
        <v>0</v>
      </c>
      <c r="L758" s="79" t="str">
        <f>IFERROR(AVERAGEIFS(Table1[Final Score],Table1[Month],Table1[[#This Row],[Month]],Table1[Year],Table1[[#This Row],[Year]],Table1[Mechanic Name],Table1[[#This Row],[Mechanic Name]]),"")</f>
        <v/>
      </c>
    </row>
    <row r="759" spans="3:12" hidden="1" x14ac:dyDescent="0.35">
      <c r="C759" s="80"/>
      <c r="K759" s="81">
        <f>SUM(Table1[[#This Row],[Technical Knowledge]:[Repeat job nahin aana]])/6</f>
        <v>0</v>
      </c>
      <c r="L759" s="79" t="str">
        <f>IFERROR(AVERAGEIFS(Table1[Final Score],Table1[Month],Table1[[#This Row],[Month]],Table1[Year],Table1[[#This Row],[Year]],Table1[Mechanic Name],Table1[[#This Row],[Mechanic Name]]),"")</f>
        <v/>
      </c>
    </row>
    <row r="760" spans="3:12" hidden="1" x14ac:dyDescent="0.35">
      <c r="C760" s="80"/>
      <c r="K760" s="81">
        <f>SUM(Table1[[#This Row],[Technical Knowledge]:[Repeat job nahin aana]])/6</f>
        <v>0</v>
      </c>
      <c r="L760" s="79" t="str">
        <f>IFERROR(AVERAGEIFS(Table1[Final Score],Table1[Month],Table1[[#This Row],[Month]],Table1[Year],Table1[[#This Row],[Year]],Table1[Mechanic Name],Table1[[#This Row],[Mechanic Name]]),"")</f>
        <v/>
      </c>
    </row>
    <row r="761" spans="3:12" hidden="1" x14ac:dyDescent="0.35">
      <c r="C761" s="80"/>
      <c r="K761" s="81">
        <f>SUM(Table1[[#This Row],[Technical Knowledge]:[Repeat job nahin aana]])/6</f>
        <v>0</v>
      </c>
      <c r="L761" s="79" t="str">
        <f>IFERROR(AVERAGEIFS(Table1[Final Score],Table1[Month],Table1[[#This Row],[Month]],Table1[Year],Table1[[#This Row],[Year]],Table1[Mechanic Name],Table1[[#This Row],[Mechanic Name]]),"")</f>
        <v/>
      </c>
    </row>
    <row r="762" spans="3:12" hidden="1" x14ac:dyDescent="0.35">
      <c r="C762" s="80"/>
      <c r="K762" s="81">
        <f>SUM(Table1[[#This Row],[Technical Knowledge]:[Repeat job nahin aana]])/6</f>
        <v>0</v>
      </c>
      <c r="L762" s="79" t="str">
        <f>IFERROR(AVERAGEIFS(Table1[Final Score],Table1[Month],Table1[[#This Row],[Month]],Table1[Year],Table1[[#This Row],[Year]],Table1[Mechanic Name],Table1[[#This Row],[Mechanic Name]]),"")</f>
        <v/>
      </c>
    </row>
    <row r="763" spans="3:12" hidden="1" x14ac:dyDescent="0.35">
      <c r="C763" s="80"/>
      <c r="K763" s="81">
        <f>SUM(Table1[[#This Row],[Technical Knowledge]:[Repeat job nahin aana]])/6</f>
        <v>0</v>
      </c>
      <c r="L763" s="79" t="str">
        <f>IFERROR(AVERAGEIFS(Table1[Final Score],Table1[Month],Table1[[#This Row],[Month]],Table1[Year],Table1[[#This Row],[Year]],Table1[Mechanic Name],Table1[[#This Row],[Mechanic Name]]),"")</f>
        <v/>
      </c>
    </row>
    <row r="764" spans="3:12" hidden="1" x14ac:dyDescent="0.35">
      <c r="C764" s="80"/>
      <c r="K764" s="81">
        <f>SUM(Table1[[#This Row],[Technical Knowledge]:[Repeat job nahin aana]])/6</f>
        <v>0</v>
      </c>
      <c r="L764" s="79" t="str">
        <f>IFERROR(AVERAGEIFS(Table1[Final Score],Table1[Month],Table1[[#This Row],[Month]],Table1[Year],Table1[[#This Row],[Year]],Table1[Mechanic Name],Table1[[#This Row],[Mechanic Name]]),"")</f>
        <v/>
      </c>
    </row>
    <row r="765" spans="3:12" hidden="1" x14ac:dyDescent="0.35">
      <c r="C765" s="80"/>
      <c r="K765" s="81">
        <f>SUM(Table1[[#This Row],[Technical Knowledge]:[Repeat job nahin aana]])/6</f>
        <v>0</v>
      </c>
      <c r="L765" s="79" t="str">
        <f>IFERROR(AVERAGEIFS(Table1[Final Score],Table1[Month],Table1[[#This Row],[Month]],Table1[Year],Table1[[#This Row],[Year]],Table1[Mechanic Name],Table1[[#This Row],[Mechanic Name]]),"")</f>
        <v/>
      </c>
    </row>
    <row r="766" spans="3:12" hidden="1" x14ac:dyDescent="0.35">
      <c r="C766" s="80"/>
      <c r="K766" s="81">
        <f>SUM(Table1[[#This Row],[Technical Knowledge]:[Repeat job nahin aana]])/6</f>
        <v>0</v>
      </c>
      <c r="L766" s="79" t="str">
        <f>IFERROR(AVERAGEIFS(Table1[Final Score],Table1[Month],Table1[[#This Row],[Month]],Table1[Year],Table1[[#This Row],[Year]],Table1[Mechanic Name],Table1[[#This Row],[Mechanic Name]]),"")</f>
        <v/>
      </c>
    </row>
    <row r="767" spans="3:12" hidden="1" x14ac:dyDescent="0.35">
      <c r="C767" s="80"/>
      <c r="K767" s="81">
        <f>SUM(Table1[[#This Row],[Technical Knowledge]:[Repeat job nahin aana]])/6</f>
        <v>0</v>
      </c>
      <c r="L767" s="79" t="str">
        <f>IFERROR(AVERAGEIFS(Table1[Final Score],Table1[Month],Table1[[#This Row],[Month]],Table1[Year],Table1[[#This Row],[Year]],Table1[Mechanic Name],Table1[[#This Row],[Mechanic Name]]),"")</f>
        <v/>
      </c>
    </row>
    <row r="768" spans="3:12" hidden="1" x14ac:dyDescent="0.35">
      <c r="C768" s="80"/>
      <c r="K768" s="81">
        <f>SUM(Table1[[#This Row],[Technical Knowledge]:[Repeat job nahin aana]])/6</f>
        <v>0</v>
      </c>
      <c r="L768" s="79" t="str">
        <f>IFERROR(AVERAGEIFS(Table1[Final Score],Table1[Month],Table1[[#This Row],[Month]],Table1[Year],Table1[[#This Row],[Year]],Table1[Mechanic Name],Table1[[#This Row],[Mechanic Name]]),"")</f>
        <v/>
      </c>
    </row>
    <row r="769" spans="3:12" hidden="1" x14ac:dyDescent="0.35">
      <c r="C769" s="80"/>
      <c r="K769" s="81">
        <f>SUM(Table1[[#This Row],[Technical Knowledge]:[Repeat job nahin aana]])/6</f>
        <v>0</v>
      </c>
      <c r="L769" s="79" t="str">
        <f>IFERROR(AVERAGEIFS(Table1[Final Score],Table1[Month],Table1[[#This Row],[Month]],Table1[Year],Table1[[#This Row],[Year]],Table1[Mechanic Name],Table1[[#This Row],[Mechanic Name]]),"")</f>
        <v/>
      </c>
    </row>
    <row r="770" spans="3:12" hidden="1" x14ac:dyDescent="0.35">
      <c r="C770" s="80"/>
      <c r="K770" s="81">
        <f>SUM(Table1[[#This Row],[Technical Knowledge]:[Repeat job nahin aana]])/6</f>
        <v>0</v>
      </c>
      <c r="L770" s="79" t="str">
        <f>IFERROR(AVERAGEIFS(Table1[Final Score],Table1[Month],Table1[[#This Row],[Month]],Table1[Year],Table1[[#This Row],[Year]],Table1[Mechanic Name],Table1[[#This Row],[Mechanic Name]]),"")</f>
        <v/>
      </c>
    </row>
    <row r="771" spans="3:12" hidden="1" x14ac:dyDescent="0.35">
      <c r="C771" s="80"/>
      <c r="K771" s="81">
        <f>SUM(Table1[[#This Row],[Technical Knowledge]:[Repeat job nahin aana]])/6</f>
        <v>0</v>
      </c>
      <c r="L771" s="79" t="str">
        <f>IFERROR(AVERAGEIFS(Table1[Final Score],Table1[Month],Table1[[#This Row],[Month]],Table1[Year],Table1[[#This Row],[Year]],Table1[Mechanic Name],Table1[[#This Row],[Mechanic Name]]),"")</f>
        <v/>
      </c>
    </row>
    <row r="772" spans="3:12" hidden="1" x14ac:dyDescent="0.35">
      <c r="C772" s="80"/>
      <c r="K772" s="81">
        <f>SUM(Table1[[#This Row],[Technical Knowledge]:[Repeat job nahin aana]])/6</f>
        <v>0</v>
      </c>
      <c r="L772" s="79" t="str">
        <f>IFERROR(AVERAGEIFS(Table1[Final Score],Table1[Month],Table1[[#This Row],[Month]],Table1[Year],Table1[[#This Row],[Year]],Table1[Mechanic Name],Table1[[#This Row],[Mechanic Name]]),"")</f>
        <v/>
      </c>
    </row>
    <row r="773" spans="3:12" hidden="1" x14ac:dyDescent="0.35">
      <c r="C773" s="80"/>
      <c r="K773" s="81">
        <f>SUM(Table1[[#This Row],[Technical Knowledge]:[Repeat job nahin aana]])/6</f>
        <v>0</v>
      </c>
      <c r="L773" s="79" t="str">
        <f>IFERROR(AVERAGEIFS(Table1[Final Score],Table1[Month],Table1[[#This Row],[Month]],Table1[Year],Table1[[#This Row],[Year]],Table1[Mechanic Name],Table1[[#This Row],[Mechanic Name]]),"")</f>
        <v/>
      </c>
    </row>
    <row r="774" spans="3:12" hidden="1" x14ac:dyDescent="0.35">
      <c r="C774" s="80"/>
      <c r="K774" s="81">
        <f>SUM(Table1[[#This Row],[Technical Knowledge]:[Repeat job nahin aana]])/6</f>
        <v>0</v>
      </c>
      <c r="L774" s="79" t="str">
        <f>IFERROR(AVERAGEIFS(Table1[Final Score],Table1[Month],Table1[[#This Row],[Month]],Table1[Year],Table1[[#This Row],[Year]],Table1[Mechanic Name],Table1[[#This Row],[Mechanic Name]]),"")</f>
        <v/>
      </c>
    </row>
    <row r="775" spans="3:12" hidden="1" x14ac:dyDescent="0.35">
      <c r="C775" s="80"/>
      <c r="K775" s="81">
        <f>SUM(Table1[[#This Row],[Technical Knowledge]:[Repeat job nahin aana]])/6</f>
        <v>0</v>
      </c>
      <c r="L775" s="79" t="str">
        <f>IFERROR(AVERAGEIFS(Table1[Final Score],Table1[Month],Table1[[#This Row],[Month]],Table1[Year],Table1[[#This Row],[Year]],Table1[Mechanic Name],Table1[[#This Row],[Mechanic Name]]),"")</f>
        <v/>
      </c>
    </row>
    <row r="776" spans="3:12" hidden="1" x14ac:dyDescent="0.35">
      <c r="C776" s="80"/>
      <c r="K776" s="81">
        <f>SUM(Table1[[#This Row],[Technical Knowledge]:[Repeat job nahin aana]])/6</f>
        <v>0</v>
      </c>
      <c r="L776" s="79" t="str">
        <f>IFERROR(AVERAGEIFS(Table1[Final Score],Table1[Month],Table1[[#This Row],[Month]],Table1[Year],Table1[[#This Row],[Year]],Table1[Mechanic Name],Table1[[#This Row],[Mechanic Name]]),"")</f>
        <v/>
      </c>
    </row>
    <row r="777" spans="3:12" hidden="1" x14ac:dyDescent="0.35">
      <c r="C777" s="80"/>
      <c r="K777" s="81">
        <f>SUM(Table1[[#This Row],[Technical Knowledge]:[Repeat job nahin aana]])/6</f>
        <v>0</v>
      </c>
      <c r="L777" s="79" t="str">
        <f>IFERROR(AVERAGEIFS(Table1[Final Score],Table1[Month],Table1[[#This Row],[Month]],Table1[Year],Table1[[#This Row],[Year]],Table1[Mechanic Name],Table1[[#This Row],[Mechanic Name]]),"")</f>
        <v/>
      </c>
    </row>
    <row r="778" spans="3:12" hidden="1" x14ac:dyDescent="0.35">
      <c r="C778" s="80"/>
      <c r="K778" s="81">
        <f>SUM(Table1[[#This Row],[Technical Knowledge]:[Repeat job nahin aana]])/6</f>
        <v>0</v>
      </c>
      <c r="L778" s="79" t="str">
        <f>IFERROR(AVERAGEIFS(Table1[Final Score],Table1[Month],Table1[[#This Row],[Month]],Table1[Year],Table1[[#This Row],[Year]],Table1[Mechanic Name],Table1[[#This Row],[Mechanic Name]]),"")</f>
        <v/>
      </c>
    </row>
    <row r="779" spans="3:12" hidden="1" x14ac:dyDescent="0.35">
      <c r="C779" s="80"/>
      <c r="K779" s="81">
        <f>SUM(Table1[[#This Row],[Technical Knowledge]:[Repeat job nahin aana]])/6</f>
        <v>0</v>
      </c>
      <c r="L779" s="79" t="str">
        <f>IFERROR(AVERAGEIFS(Table1[Final Score],Table1[Month],Table1[[#This Row],[Month]],Table1[Year],Table1[[#This Row],[Year]],Table1[Mechanic Name],Table1[[#This Row],[Mechanic Name]]),"")</f>
        <v/>
      </c>
    </row>
    <row r="780" spans="3:12" hidden="1" x14ac:dyDescent="0.35">
      <c r="C780" s="80"/>
      <c r="K780" s="81">
        <f>SUM(Table1[[#This Row],[Technical Knowledge]:[Repeat job nahin aana]])/6</f>
        <v>0</v>
      </c>
      <c r="L780" s="79" t="str">
        <f>IFERROR(AVERAGEIFS(Table1[Final Score],Table1[Month],Table1[[#This Row],[Month]],Table1[Year],Table1[[#This Row],[Year]],Table1[Mechanic Name],Table1[[#This Row],[Mechanic Name]]),"")</f>
        <v/>
      </c>
    </row>
    <row r="781" spans="3:12" hidden="1" x14ac:dyDescent="0.35">
      <c r="C781" s="80"/>
      <c r="K781" s="81">
        <f>SUM(Table1[[#This Row],[Technical Knowledge]:[Repeat job nahin aana]])/6</f>
        <v>0</v>
      </c>
      <c r="L781" s="79" t="str">
        <f>IFERROR(AVERAGEIFS(Table1[Final Score],Table1[Month],Table1[[#This Row],[Month]],Table1[Year],Table1[[#This Row],[Year]],Table1[Mechanic Name],Table1[[#This Row],[Mechanic Name]]),"")</f>
        <v/>
      </c>
    </row>
    <row r="782" spans="3:12" hidden="1" x14ac:dyDescent="0.35">
      <c r="C782" s="80"/>
      <c r="K782" s="81">
        <f>SUM(Table1[[#This Row],[Technical Knowledge]:[Repeat job nahin aana]])/6</f>
        <v>0</v>
      </c>
      <c r="L782" s="79" t="str">
        <f>IFERROR(AVERAGEIFS(Table1[Final Score],Table1[Month],Table1[[#This Row],[Month]],Table1[Year],Table1[[#This Row],[Year]],Table1[Mechanic Name],Table1[[#This Row],[Mechanic Name]]),"")</f>
        <v/>
      </c>
    </row>
    <row r="783" spans="3:12" hidden="1" x14ac:dyDescent="0.35">
      <c r="C783" s="80"/>
      <c r="K783" s="81">
        <f>SUM(Table1[[#This Row],[Technical Knowledge]:[Repeat job nahin aana]])/6</f>
        <v>0</v>
      </c>
      <c r="L783" s="79" t="str">
        <f>IFERROR(AVERAGEIFS(Table1[Final Score],Table1[Month],Table1[[#This Row],[Month]],Table1[Year],Table1[[#This Row],[Year]],Table1[Mechanic Name],Table1[[#This Row],[Mechanic Name]]),"")</f>
        <v/>
      </c>
    </row>
    <row r="784" spans="3:12" hidden="1" x14ac:dyDescent="0.35">
      <c r="C784" s="80"/>
      <c r="K784" s="81">
        <f>SUM(Table1[[#This Row],[Technical Knowledge]:[Repeat job nahin aana]])/6</f>
        <v>0</v>
      </c>
      <c r="L784" s="79" t="str">
        <f>IFERROR(AVERAGEIFS(Table1[Final Score],Table1[Month],Table1[[#This Row],[Month]],Table1[Year],Table1[[#This Row],[Year]],Table1[Mechanic Name],Table1[[#This Row],[Mechanic Name]]),"")</f>
        <v/>
      </c>
    </row>
    <row r="785" spans="3:12" hidden="1" x14ac:dyDescent="0.35">
      <c r="C785" s="80"/>
      <c r="K785" s="81">
        <f>SUM(Table1[[#This Row],[Technical Knowledge]:[Repeat job nahin aana]])/6</f>
        <v>0</v>
      </c>
      <c r="L785" s="79" t="str">
        <f>IFERROR(AVERAGEIFS(Table1[Final Score],Table1[Month],Table1[[#This Row],[Month]],Table1[Year],Table1[[#This Row],[Year]],Table1[Mechanic Name],Table1[[#This Row],[Mechanic Name]]),"")</f>
        <v/>
      </c>
    </row>
    <row r="786" spans="3:12" hidden="1" x14ac:dyDescent="0.35">
      <c r="C786" s="80"/>
      <c r="K786" s="81">
        <f>SUM(Table1[[#This Row],[Technical Knowledge]:[Repeat job nahin aana]])/6</f>
        <v>0</v>
      </c>
      <c r="L786" s="79" t="str">
        <f>IFERROR(AVERAGEIFS(Table1[Final Score],Table1[Month],Table1[[#This Row],[Month]],Table1[Year],Table1[[#This Row],[Year]],Table1[Mechanic Name],Table1[[#This Row],[Mechanic Name]]),"")</f>
        <v/>
      </c>
    </row>
    <row r="787" spans="3:12" hidden="1" x14ac:dyDescent="0.35">
      <c r="C787" s="80"/>
      <c r="K787" s="81">
        <f>SUM(Table1[[#This Row],[Technical Knowledge]:[Repeat job nahin aana]])/6</f>
        <v>0</v>
      </c>
      <c r="L787" s="79" t="str">
        <f>IFERROR(AVERAGEIFS(Table1[Final Score],Table1[Month],Table1[[#This Row],[Month]],Table1[Year],Table1[[#This Row],[Year]],Table1[Mechanic Name],Table1[[#This Row],[Mechanic Name]]),"")</f>
        <v/>
      </c>
    </row>
    <row r="788" spans="3:12" hidden="1" x14ac:dyDescent="0.35">
      <c r="C788" s="80"/>
      <c r="K788" s="81">
        <f>SUM(Table1[[#This Row],[Technical Knowledge]:[Repeat job nahin aana]])/6</f>
        <v>0</v>
      </c>
      <c r="L788" s="79" t="str">
        <f>IFERROR(AVERAGEIFS(Table1[Final Score],Table1[Month],Table1[[#This Row],[Month]],Table1[Year],Table1[[#This Row],[Year]],Table1[Mechanic Name],Table1[[#This Row],[Mechanic Name]]),"")</f>
        <v/>
      </c>
    </row>
    <row r="789" spans="3:12" hidden="1" x14ac:dyDescent="0.35">
      <c r="C789" s="80"/>
      <c r="K789" s="81">
        <f>SUM(Table1[[#This Row],[Technical Knowledge]:[Repeat job nahin aana]])/6</f>
        <v>0</v>
      </c>
      <c r="L789" s="79" t="str">
        <f>IFERROR(AVERAGEIFS(Table1[Final Score],Table1[Month],Table1[[#This Row],[Month]],Table1[Year],Table1[[#This Row],[Year]],Table1[Mechanic Name],Table1[[#This Row],[Mechanic Name]]),"")</f>
        <v/>
      </c>
    </row>
    <row r="790" spans="3:12" hidden="1" x14ac:dyDescent="0.35">
      <c r="C790" s="80"/>
      <c r="K790" s="81">
        <f>SUM(Table1[[#This Row],[Technical Knowledge]:[Repeat job nahin aana]])/6</f>
        <v>0</v>
      </c>
      <c r="L790" s="79" t="str">
        <f>IFERROR(AVERAGEIFS(Table1[Final Score],Table1[Month],Table1[[#This Row],[Month]],Table1[Year],Table1[[#This Row],[Year]],Table1[Mechanic Name],Table1[[#This Row],[Mechanic Name]]),"")</f>
        <v/>
      </c>
    </row>
    <row r="791" spans="3:12" hidden="1" x14ac:dyDescent="0.35">
      <c r="C791" s="80"/>
      <c r="K791" s="81">
        <f>SUM(Table1[[#This Row],[Technical Knowledge]:[Repeat job nahin aana]])/6</f>
        <v>0</v>
      </c>
      <c r="L791" s="79" t="str">
        <f>IFERROR(AVERAGEIFS(Table1[Final Score],Table1[Month],Table1[[#This Row],[Month]],Table1[Year],Table1[[#This Row],[Year]],Table1[Mechanic Name],Table1[[#This Row],[Mechanic Name]]),"")</f>
        <v/>
      </c>
    </row>
    <row r="792" spans="3:12" hidden="1" x14ac:dyDescent="0.35">
      <c r="C792" s="80"/>
      <c r="K792" s="81">
        <f>SUM(Table1[[#This Row],[Technical Knowledge]:[Repeat job nahin aana]])/6</f>
        <v>0</v>
      </c>
      <c r="L792" s="79" t="str">
        <f>IFERROR(AVERAGEIFS(Table1[Final Score],Table1[Month],Table1[[#This Row],[Month]],Table1[Year],Table1[[#This Row],[Year]],Table1[Mechanic Name],Table1[[#This Row],[Mechanic Name]]),"")</f>
        <v/>
      </c>
    </row>
    <row r="793" spans="3:12" hidden="1" x14ac:dyDescent="0.35">
      <c r="C793" s="80"/>
      <c r="K793" s="81">
        <f>SUM(Table1[[#This Row],[Technical Knowledge]:[Repeat job nahin aana]])/6</f>
        <v>0</v>
      </c>
      <c r="L793" s="79" t="str">
        <f>IFERROR(AVERAGEIFS(Table1[Final Score],Table1[Month],Table1[[#This Row],[Month]],Table1[Year],Table1[[#This Row],[Year]],Table1[Mechanic Name],Table1[[#This Row],[Mechanic Name]]),"")</f>
        <v/>
      </c>
    </row>
    <row r="794" spans="3:12" hidden="1" x14ac:dyDescent="0.35">
      <c r="C794" s="80"/>
      <c r="K794" s="81">
        <f>SUM(Table1[[#This Row],[Technical Knowledge]:[Repeat job nahin aana]])/6</f>
        <v>0</v>
      </c>
      <c r="L794" s="79" t="str">
        <f>IFERROR(AVERAGEIFS(Table1[Final Score],Table1[Month],Table1[[#This Row],[Month]],Table1[Year],Table1[[#This Row],[Year]],Table1[Mechanic Name],Table1[[#This Row],[Mechanic Name]]),"")</f>
        <v/>
      </c>
    </row>
    <row r="795" spans="3:12" hidden="1" x14ac:dyDescent="0.35">
      <c r="C795" s="80"/>
      <c r="K795" s="81">
        <f>SUM(Table1[[#This Row],[Technical Knowledge]:[Repeat job nahin aana]])/6</f>
        <v>0</v>
      </c>
      <c r="L795" s="79" t="str">
        <f>IFERROR(AVERAGEIFS(Table1[Final Score],Table1[Month],Table1[[#This Row],[Month]],Table1[Year],Table1[[#This Row],[Year]],Table1[Mechanic Name],Table1[[#This Row],[Mechanic Name]]),"")</f>
        <v/>
      </c>
    </row>
    <row r="796" spans="3:12" hidden="1" x14ac:dyDescent="0.35">
      <c r="C796" s="80"/>
      <c r="K796" s="81">
        <f>SUM(Table1[[#This Row],[Technical Knowledge]:[Repeat job nahin aana]])/6</f>
        <v>0</v>
      </c>
      <c r="L796" s="79" t="str">
        <f>IFERROR(AVERAGEIFS(Table1[Final Score],Table1[Month],Table1[[#This Row],[Month]],Table1[Year],Table1[[#This Row],[Year]],Table1[Mechanic Name],Table1[[#This Row],[Mechanic Name]]),"")</f>
        <v/>
      </c>
    </row>
    <row r="797" spans="3:12" hidden="1" x14ac:dyDescent="0.35">
      <c r="C797" s="80"/>
      <c r="K797" s="81">
        <f>SUM(Table1[[#This Row],[Technical Knowledge]:[Repeat job nahin aana]])/6</f>
        <v>0</v>
      </c>
      <c r="L797" s="79" t="str">
        <f>IFERROR(AVERAGEIFS(Table1[Final Score],Table1[Month],Table1[[#This Row],[Month]],Table1[Year],Table1[[#This Row],[Year]],Table1[Mechanic Name],Table1[[#This Row],[Mechanic Name]]),"")</f>
        <v/>
      </c>
    </row>
    <row r="798" spans="3:12" hidden="1" x14ac:dyDescent="0.35">
      <c r="C798" s="80"/>
      <c r="K798" s="81">
        <f>SUM(Table1[[#This Row],[Technical Knowledge]:[Repeat job nahin aana]])/6</f>
        <v>0</v>
      </c>
      <c r="L798" s="79" t="str">
        <f>IFERROR(AVERAGEIFS(Table1[Final Score],Table1[Month],Table1[[#This Row],[Month]],Table1[Year],Table1[[#This Row],[Year]],Table1[Mechanic Name],Table1[[#This Row],[Mechanic Name]]),"")</f>
        <v/>
      </c>
    </row>
    <row r="799" spans="3:12" hidden="1" x14ac:dyDescent="0.35">
      <c r="C799" s="80"/>
      <c r="K799" s="81">
        <f>SUM(Table1[[#This Row],[Technical Knowledge]:[Repeat job nahin aana]])/6</f>
        <v>0</v>
      </c>
      <c r="L799" s="79" t="str">
        <f>IFERROR(AVERAGEIFS(Table1[Final Score],Table1[Month],Table1[[#This Row],[Month]],Table1[Year],Table1[[#This Row],[Year]],Table1[Mechanic Name],Table1[[#This Row],[Mechanic Name]]),"")</f>
        <v/>
      </c>
    </row>
    <row r="800" spans="3:12" hidden="1" x14ac:dyDescent="0.35">
      <c r="C800" s="80"/>
      <c r="K800" s="81">
        <f>SUM(Table1[[#This Row],[Technical Knowledge]:[Repeat job nahin aana]])/6</f>
        <v>0</v>
      </c>
      <c r="L800" s="79" t="str">
        <f>IFERROR(AVERAGEIFS(Table1[Final Score],Table1[Month],Table1[[#This Row],[Month]],Table1[Year],Table1[[#This Row],[Year]],Table1[Mechanic Name],Table1[[#This Row],[Mechanic Name]]),"")</f>
        <v/>
      </c>
    </row>
    <row r="801" spans="3:12" hidden="1" x14ac:dyDescent="0.35">
      <c r="C801" s="80"/>
      <c r="K801" s="81">
        <f>SUM(Table1[[#This Row],[Technical Knowledge]:[Repeat job nahin aana]])/6</f>
        <v>0</v>
      </c>
      <c r="L801" s="79" t="str">
        <f>IFERROR(AVERAGEIFS(Table1[Final Score],Table1[Month],Table1[[#This Row],[Month]],Table1[Year],Table1[[#This Row],[Year]],Table1[Mechanic Name],Table1[[#This Row],[Mechanic Name]]),"")</f>
        <v/>
      </c>
    </row>
    <row r="802" spans="3:12" hidden="1" x14ac:dyDescent="0.35">
      <c r="C802" s="80"/>
      <c r="K802" s="81">
        <f>SUM(Table1[[#This Row],[Technical Knowledge]:[Repeat job nahin aana]])/6</f>
        <v>0</v>
      </c>
      <c r="L802" s="79" t="str">
        <f>IFERROR(AVERAGEIFS(Table1[Final Score],Table1[Month],Table1[[#This Row],[Month]],Table1[Year],Table1[[#This Row],[Year]],Table1[Mechanic Name],Table1[[#This Row],[Mechanic Name]]),"")</f>
        <v/>
      </c>
    </row>
    <row r="803" spans="3:12" hidden="1" x14ac:dyDescent="0.35">
      <c r="C803" s="80"/>
      <c r="K803" s="81">
        <f>SUM(Table1[[#This Row],[Technical Knowledge]:[Repeat job nahin aana]])/6</f>
        <v>0</v>
      </c>
      <c r="L803" s="79" t="str">
        <f>IFERROR(AVERAGEIFS(Table1[Final Score],Table1[Month],Table1[[#This Row],[Month]],Table1[Year],Table1[[#This Row],[Year]],Table1[Mechanic Name],Table1[[#This Row],[Mechanic Name]]),"")</f>
        <v/>
      </c>
    </row>
    <row r="804" spans="3:12" hidden="1" x14ac:dyDescent="0.35">
      <c r="C804" s="80"/>
      <c r="K804" s="81">
        <f>SUM(Table1[[#This Row],[Technical Knowledge]:[Repeat job nahin aana]])/6</f>
        <v>0</v>
      </c>
      <c r="L804" s="79" t="str">
        <f>IFERROR(AVERAGEIFS(Table1[Final Score],Table1[Month],Table1[[#This Row],[Month]],Table1[Year],Table1[[#This Row],[Year]],Table1[Mechanic Name],Table1[[#This Row],[Mechanic Name]]),"")</f>
        <v/>
      </c>
    </row>
    <row r="805" spans="3:12" hidden="1" x14ac:dyDescent="0.35">
      <c r="C805" s="80"/>
      <c r="K805" s="81">
        <f>SUM(Table1[[#This Row],[Technical Knowledge]:[Repeat job nahin aana]])/6</f>
        <v>0</v>
      </c>
      <c r="L805" s="79" t="str">
        <f>IFERROR(AVERAGEIFS(Table1[Final Score],Table1[Month],Table1[[#This Row],[Month]],Table1[Year],Table1[[#This Row],[Year]],Table1[Mechanic Name],Table1[[#This Row],[Mechanic Name]]),"")</f>
        <v/>
      </c>
    </row>
    <row r="806" spans="3:12" hidden="1" x14ac:dyDescent="0.35">
      <c r="C806" s="80"/>
      <c r="K806" s="81">
        <f>SUM(Table1[[#This Row],[Technical Knowledge]:[Repeat job nahin aana]])/6</f>
        <v>0</v>
      </c>
      <c r="L806" s="79" t="str">
        <f>IFERROR(AVERAGEIFS(Table1[Final Score],Table1[Month],Table1[[#This Row],[Month]],Table1[Year],Table1[[#This Row],[Year]],Table1[Mechanic Name],Table1[[#This Row],[Mechanic Name]]),"")</f>
        <v/>
      </c>
    </row>
    <row r="807" spans="3:12" hidden="1" x14ac:dyDescent="0.35">
      <c r="C807" s="80"/>
      <c r="K807" s="81">
        <f>SUM(Table1[[#This Row],[Technical Knowledge]:[Repeat job nahin aana]])/6</f>
        <v>0</v>
      </c>
      <c r="L807" s="79" t="str">
        <f>IFERROR(AVERAGEIFS(Table1[Final Score],Table1[Month],Table1[[#This Row],[Month]],Table1[Year],Table1[[#This Row],[Year]],Table1[Mechanic Name],Table1[[#This Row],[Mechanic Name]]),"")</f>
        <v/>
      </c>
    </row>
    <row r="808" spans="3:12" hidden="1" x14ac:dyDescent="0.35">
      <c r="C808" s="80"/>
      <c r="K808" s="81">
        <f>SUM(Table1[[#This Row],[Technical Knowledge]:[Repeat job nahin aana]])/6</f>
        <v>0</v>
      </c>
      <c r="L808" s="79" t="str">
        <f>IFERROR(AVERAGEIFS(Table1[Final Score],Table1[Month],Table1[[#This Row],[Month]],Table1[Year],Table1[[#This Row],[Year]],Table1[Mechanic Name],Table1[[#This Row],[Mechanic Name]]),"")</f>
        <v/>
      </c>
    </row>
    <row r="809" spans="3:12" hidden="1" x14ac:dyDescent="0.35">
      <c r="C809" s="80"/>
      <c r="K809" s="81">
        <f>SUM(Table1[[#This Row],[Technical Knowledge]:[Repeat job nahin aana]])/6</f>
        <v>0</v>
      </c>
      <c r="L809" s="79" t="str">
        <f>IFERROR(AVERAGEIFS(Table1[Final Score],Table1[Month],Table1[[#This Row],[Month]],Table1[Year],Table1[[#This Row],[Year]],Table1[Mechanic Name],Table1[[#This Row],[Mechanic Name]]),"")</f>
        <v/>
      </c>
    </row>
    <row r="810" spans="3:12" hidden="1" x14ac:dyDescent="0.35">
      <c r="C810" s="80"/>
      <c r="K810" s="81">
        <f>SUM(Table1[[#This Row],[Technical Knowledge]:[Repeat job nahin aana]])/6</f>
        <v>0</v>
      </c>
      <c r="L810" s="79" t="str">
        <f>IFERROR(AVERAGEIFS(Table1[Final Score],Table1[Month],Table1[[#This Row],[Month]],Table1[Year],Table1[[#This Row],[Year]],Table1[Mechanic Name],Table1[[#This Row],[Mechanic Name]]),"")</f>
        <v/>
      </c>
    </row>
    <row r="811" spans="3:12" hidden="1" x14ac:dyDescent="0.35">
      <c r="C811" s="80"/>
      <c r="K811" s="81">
        <f>SUM(Table1[[#This Row],[Technical Knowledge]:[Repeat job nahin aana]])/6</f>
        <v>0</v>
      </c>
      <c r="L811" s="79" t="str">
        <f>IFERROR(AVERAGEIFS(Table1[Final Score],Table1[Month],Table1[[#This Row],[Month]],Table1[Year],Table1[[#This Row],[Year]],Table1[Mechanic Name],Table1[[#This Row],[Mechanic Name]]),"")</f>
        <v/>
      </c>
    </row>
    <row r="812" spans="3:12" hidden="1" x14ac:dyDescent="0.35">
      <c r="C812" s="80"/>
      <c r="K812" s="81">
        <f>SUM(Table1[[#This Row],[Technical Knowledge]:[Repeat job nahin aana]])/6</f>
        <v>0</v>
      </c>
      <c r="L812" s="79" t="str">
        <f>IFERROR(AVERAGEIFS(Table1[Final Score],Table1[Month],Table1[[#This Row],[Month]],Table1[Year],Table1[[#This Row],[Year]],Table1[Mechanic Name],Table1[[#This Row],[Mechanic Name]]),"")</f>
        <v/>
      </c>
    </row>
    <row r="813" spans="3:12" hidden="1" x14ac:dyDescent="0.35">
      <c r="C813" s="80"/>
      <c r="K813" s="81">
        <f>SUM(Table1[[#This Row],[Technical Knowledge]:[Repeat job nahin aana]])/6</f>
        <v>0</v>
      </c>
      <c r="L813" s="79" t="str">
        <f>IFERROR(AVERAGEIFS(Table1[Final Score],Table1[Month],Table1[[#This Row],[Month]],Table1[Year],Table1[[#This Row],[Year]],Table1[Mechanic Name],Table1[[#This Row],[Mechanic Name]]),"")</f>
        <v/>
      </c>
    </row>
    <row r="814" spans="3:12" hidden="1" x14ac:dyDescent="0.35">
      <c r="C814" s="80"/>
      <c r="K814" s="81">
        <f>SUM(Table1[[#This Row],[Technical Knowledge]:[Repeat job nahin aana]])/6</f>
        <v>0</v>
      </c>
      <c r="L814" s="79" t="str">
        <f>IFERROR(AVERAGEIFS(Table1[Final Score],Table1[Month],Table1[[#This Row],[Month]],Table1[Year],Table1[[#This Row],[Year]],Table1[Mechanic Name],Table1[[#This Row],[Mechanic Name]]),"")</f>
        <v/>
      </c>
    </row>
    <row r="815" spans="3:12" hidden="1" x14ac:dyDescent="0.35">
      <c r="C815" s="80"/>
      <c r="K815" s="81">
        <f>SUM(Table1[[#This Row],[Technical Knowledge]:[Repeat job nahin aana]])/6</f>
        <v>0</v>
      </c>
      <c r="L815" s="79" t="str">
        <f>IFERROR(AVERAGEIFS(Table1[Final Score],Table1[Month],Table1[[#This Row],[Month]],Table1[Year],Table1[[#This Row],[Year]],Table1[Mechanic Name],Table1[[#This Row],[Mechanic Name]]),"")</f>
        <v/>
      </c>
    </row>
    <row r="816" spans="3:12" hidden="1" x14ac:dyDescent="0.35">
      <c r="C816" s="80"/>
      <c r="K816" s="81">
        <f>SUM(Table1[[#This Row],[Technical Knowledge]:[Repeat job nahin aana]])/6</f>
        <v>0</v>
      </c>
      <c r="L816" s="79" t="str">
        <f>IFERROR(AVERAGEIFS(Table1[Final Score],Table1[Month],Table1[[#This Row],[Month]],Table1[Year],Table1[[#This Row],[Year]],Table1[Mechanic Name],Table1[[#This Row],[Mechanic Name]]),"")</f>
        <v/>
      </c>
    </row>
    <row r="817" spans="3:12" hidden="1" x14ac:dyDescent="0.35">
      <c r="C817" s="80"/>
      <c r="K817" s="81">
        <f>SUM(Table1[[#This Row],[Technical Knowledge]:[Repeat job nahin aana]])/6</f>
        <v>0</v>
      </c>
      <c r="L817" s="79" t="str">
        <f>IFERROR(AVERAGEIFS(Table1[Final Score],Table1[Month],Table1[[#This Row],[Month]],Table1[Year],Table1[[#This Row],[Year]],Table1[Mechanic Name],Table1[[#This Row],[Mechanic Name]]),"")</f>
        <v/>
      </c>
    </row>
    <row r="818" spans="3:12" hidden="1" x14ac:dyDescent="0.35">
      <c r="C818" s="80"/>
      <c r="K818" s="81">
        <f>SUM(Table1[[#This Row],[Technical Knowledge]:[Repeat job nahin aana]])/6</f>
        <v>0</v>
      </c>
      <c r="L818" s="79" t="str">
        <f>IFERROR(AVERAGEIFS(Table1[Final Score],Table1[Month],Table1[[#This Row],[Month]],Table1[Year],Table1[[#This Row],[Year]],Table1[Mechanic Name],Table1[[#This Row],[Mechanic Name]]),"")</f>
        <v/>
      </c>
    </row>
    <row r="819" spans="3:12" hidden="1" x14ac:dyDescent="0.35">
      <c r="C819" s="80"/>
      <c r="K819" s="81">
        <f>SUM(Table1[[#This Row],[Technical Knowledge]:[Repeat job nahin aana]])/6</f>
        <v>0</v>
      </c>
      <c r="L819" s="79" t="str">
        <f>IFERROR(AVERAGEIFS(Table1[Final Score],Table1[Month],Table1[[#This Row],[Month]],Table1[Year],Table1[[#This Row],[Year]],Table1[Mechanic Name],Table1[[#This Row],[Mechanic Name]]),"")</f>
        <v/>
      </c>
    </row>
    <row r="820" spans="3:12" hidden="1" x14ac:dyDescent="0.35">
      <c r="C820" s="80"/>
      <c r="K820" s="81">
        <f>SUM(Table1[[#This Row],[Technical Knowledge]:[Repeat job nahin aana]])/6</f>
        <v>0</v>
      </c>
      <c r="L820" s="79" t="str">
        <f>IFERROR(AVERAGEIFS(Table1[Final Score],Table1[Month],Table1[[#This Row],[Month]],Table1[Year],Table1[[#This Row],[Year]],Table1[Mechanic Name],Table1[[#This Row],[Mechanic Name]]),"")</f>
        <v/>
      </c>
    </row>
    <row r="821" spans="3:12" hidden="1" x14ac:dyDescent="0.35">
      <c r="C821" s="80"/>
      <c r="K821" s="81">
        <f>SUM(Table1[[#This Row],[Technical Knowledge]:[Repeat job nahin aana]])/6</f>
        <v>0</v>
      </c>
      <c r="L821" s="79" t="str">
        <f>IFERROR(AVERAGEIFS(Table1[Final Score],Table1[Month],Table1[[#This Row],[Month]],Table1[Year],Table1[[#This Row],[Year]],Table1[Mechanic Name],Table1[[#This Row],[Mechanic Name]]),"")</f>
        <v/>
      </c>
    </row>
    <row r="822" spans="3:12" hidden="1" x14ac:dyDescent="0.35">
      <c r="C822" s="80"/>
      <c r="K822" s="81">
        <f>SUM(Table1[[#This Row],[Technical Knowledge]:[Repeat job nahin aana]])/6</f>
        <v>0</v>
      </c>
      <c r="L822" s="79" t="str">
        <f>IFERROR(AVERAGEIFS(Table1[Final Score],Table1[Month],Table1[[#This Row],[Month]],Table1[Year],Table1[[#This Row],[Year]],Table1[Mechanic Name],Table1[[#This Row],[Mechanic Name]]),"")</f>
        <v/>
      </c>
    </row>
    <row r="823" spans="3:12" hidden="1" x14ac:dyDescent="0.35">
      <c r="C823" s="80"/>
      <c r="K823" s="81">
        <f>SUM(Table1[[#This Row],[Technical Knowledge]:[Repeat job nahin aana]])/6</f>
        <v>0</v>
      </c>
      <c r="L823" s="79" t="str">
        <f>IFERROR(AVERAGEIFS(Table1[Final Score],Table1[Month],Table1[[#This Row],[Month]],Table1[Year],Table1[[#This Row],[Year]],Table1[Mechanic Name],Table1[[#This Row],[Mechanic Name]]),"")</f>
        <v/>
      </c>
    </row>
    <row r="824" spans="3:12" hidden="1" x14ac:dyDescent="0.35">
      <c r="C824" s="80"/>
      <c r="K824" s="81">
        <f>SUM(Table1[[#This Row],[Technical Knowledge]:[Repeat job nahin aana]])/6</f>
        <v>0</v>
      </c>
      <c r="L824" s="79" t="str">
        <f>IFERROR(AVERAGEIFS(Table1[Final Score],Table1[Month],Table1[[#This Row],[Month]],Table1[Year],Table1[[#This Row],[Year]],Table1[Mechanic Name],Table1[[#This Row],[Mechanic Name]]),"")</f>
        <v/>
      </c>
    </row>
    <row r="825" spans="3:12" hidden="1" x14ac:dyDescent="0.35">
      <c r="C825" s="80"/>
      <c r="K825" s="81">
        <f>SUM(Table1[[#This Row],[Technical Knowledge]:[Repeat job nahin aana]])/6</f>
        <v>0</v>
      </c>
      <c r="L825" s="79" t="str">
        <f>IFERROR(AVERAGEIFS(Table1[Final Score],Table1[Month],Table1[[#This Row],[Month]],Table1[Year],Table1[[#This Row],[Year]],Table1[Mechanic Name],Table1[[#This Row],[Mechanic Name]]),"")</f>
        <v/>
      </c>
    </row>
    <row r="826" spans="3:12" hidden="1" x14ac:dyDescent="0.35">
      <c r="C826" s="80"/>
      <c r="K826" s="81">
        <f>SUM(Table1[[#This Row],[Technical Knowledge]:[Repeat job nahin aana]])/6</f>
        <v>0</v>
      </c>
      <c r="L826" s="79" t="str">
        <f>IFERROR(AVERAGEIFS(Table1[Final Score],Table1[Month],Table1[[#This Row],[Month]],Table1[Year],Table1[[#This Row],[Year]],Table1[Mechanic Name],Table1[[#This Row],[Mechanic Name]]),"")</f>
        <v/>
      </c>
    </row>
    <row r="827" spans="3:12" hidden="1" x14ac:dyDescent="0.35">
      <c r="C827" s="80"/>
      <c r="K827" s="81">
        <f>SUM(Table1[[#This Row],[Technical Knowledge]:[Repeat job nahin aana]])/6</f>
        <v>0</v>
      </c>
      <c r="L827" s="79" t="str">
        <f>IFERROR(AVERAGEIFS(Table1[Final Score],Table1[Month],Table1[[#This Row],[Month]],Table1[Year],Table1[[#This Row],[Year]],Table1[Mechanic Name],Table1[[#This Row],[Mechanic Name]]),"")</f>
        <v/>
      </c>
    </row>
    <row r="828" spans="3:12" hidden="1" x14ac:dyDescent="0.35">
      <c r="C828" s="80"/>
      <c r="K828" s="81">
        <f>SUM(Table1[[#This Row],[Technical Knowledge]:[Repeat job nahin aana]])/6</f>
        <v>0</v>
      </c>
      <c r="L828" s="79" t="str">
        <f>IFERROR(AVERAGEIFS(Table1[Final Score],Table1[Month],Table1[[#This Row],[Month]],Table1[Year],Table1[[#This Row],[Year]],Table1[Mechanic Name],Table1[[#This Row],[Mechanic Name]]),"")</f>
        <v/>
      </c>
    </row>
    <row r="829" spans="3:12" hidden="1" x14ac:dyDescent="0.35">
      <c r="C829" s="80"/>
      <c r="K829" s="81">
        <f>SUM(Table1[[#This Row],[Technical Knowledge]:[Repeat job nahin aana]])/6</f>
        <v>0</v>
      </c>
      <c r="L829" s="79" t="str">
        <f>IFERROR(AVERAGEIFS(Table1[Final Score],Table1[Month],Table1[[#This Row],[Month]],Table1[Year],Table1[[#This Row],[Year]],Table1[Mechanic Name],Table1[[#This Row],[Mechanic Name]]),"")</f>
        <v/>
      </c>
    </row>
    <row r="830" spans="3:12" hidden="1" x14ac:dyDescent="0.35">
      <c r="C830" s="80"/>
      <c r="K830" s="81">
        <f>SUM(Table1[[#This Row],[Technical Knowledge]:[Repeat job nahin aana]])/6</f>
        <v>0</v>
      </c>
      <c r="L830" s="79" t="str">
        <f>IFERROR(AVERAGEIFS(Table1[Final Score],Table1[Month],Table1[[#This Row],[Month]],Table1[Year],Table1[[#This Row],[Year]],Table1[Mechanic Name],Table1[[#This Row],[Mechanic Name]]),"")</f>
        <v/>
      </c>
    </row>
    <row r="831" spans="3:12" hidden="1" x14ac:dyDescent="0.35">
      <c r="C831" s="80"/>
      <c r="K831" s="81">
        <f>SUM(Table1[[#This Row],[Technical Knowledge]:[Repeat job nahin aana]])/6</f>
        <v>0</v>
      </c>
      <c r="L831" s="79" t="str">
        <f>IFERROR(AVERAGEIFS(Table1[Final Score],Table1[Month],Table1[[#This Row],[Month]],Table1[Year],Table1[[#This Row],[Year]],Table1[Mechanic Name],Table1[[#This Row],[Mechanic Name]]),"")</f>
        <v/>
      </c>
    </row>
    <row r="832" spans="3:12" hidden="1" x14ac:dyDescent="0.35">
      <c r="C832" s="80"/>
      <c r="K832" s="81">
        <f>SUM(Table1[[#This Row],[Technical Knowledge]:[Repeat job nahin aana]])/6</f>
        <v>0</v>
      </c>
      <c r="L832" s="79" t="str">
        <f>IFERROR(AVERAGEIFS(Table1[Final Score],Table1[Month],Table1[[#This Row],[Month]],Table1[Year],Table1[[#This Row],[Year]],Table1[Mechanic Name],Table1[[#This Row],[Mechanic Name]]),"")</f>
        <v/>
      </c>
    </row>
    <row r="833" spans="3:12" hidden="1" x14ac:dyDescent="0.35">
      <c r="C833" s="80"/>
      <c r="K833" s="81">
        <f>SUM(Table1[[#This Row],[Technical Knowledge]:[Repeat job nahin aana]])/6</f>
        <v>0</v>
      </c>
      <c r="L833" s="79" t="str">
        <f>IFERROR(AVERAGEIFS(Table1[Final Score],Table1[Month],Table1[[#This Row],[Month]],Table1[Year],Table1[[#This Row],[Year]],Table1[Mechanic Name],Table1[[#This Row],[Mechanic Name]]),"")</f>
        <v/>
      </c>
    </row>
    <row r="834" spans="3:12" hidden="1" x14ac:dyDescent="0.35">
      <c r="C834" s="80"/>
      <c r="K834" s="81">
        <f>SUM(Table1[[#This Row],[Technical Knowledge]:[Repeat job nahin aana]])/6</f>
        <v>0</v>
      </c>
      <c r="L834" s="79" t="str">
        <f>IFERROR(AVERAGEIFS(Table1[Final Score],Table1[Month],Table1[[#This Row],[Month]],Table1[Year],Table1[[#This Row],[Year]],Table1[Mechanic Name],Table1[[#This Row],[Mechanic Name]]),"")</f>
        <v/>
      </c>
    </row>
    <row r="835" spans="3:12" hidden="1" x14ac:dyDescent="0.35">
      <c r="C835" s="80"/>
      <c r="K835" s="81">
        <f>SUM(Table1[[#This Row],[Technical Knowledge]:[Repeat job nahin aana]])/6</f>
        <v>0</v>
      </c>
      <c r="L835" s="79" t="str">
        <f>IFERROR(AVERAGEIFS(Table1[Final Score],Table1[Month],Table1[[#This Row],[Month]],Table1[Year],Table1[[#This Row],[Year]],Table1[Mechanic Name],Table1[[#This Row],[Mechanic Name]]),"")</f>
        <v/>
      </c>
    </row>
    <row r="836" spans="3:12" hidden="1" x14ac:dyDescent="0.35">
      <c r="C836" s="80"/>
      <c r="K836" s="81">
        <f>SUM(Table1[[#This Row],[Technical Knowledge]:[Repeat job nahin aana]])/6</f>
        <v>0</v>
      </c>
      <c r="L836" s="79" t="str">
        <f>IFERROR(AVERAGEIFS(Table1[Final Score],Table1[Month],Table1[[#This Row],[Month]],Table1[Year],Table1[[#This Row],[Year]],Table1[Mechanic Name],Table1[[#This Row],[Mechanic Name]]),"")</f>
        <v/>
      </c>
    </row>
    <row r="837" spans="3:12" hidden="1" x14ac:dyDescent="0.35">
      <c r="C837" s="80"/>
      <c r="K837" s="81">
        <f>SUM(Table1[[#This Row],[Technical Knowledge]:[Repeat job nahin aana]])/6</f>
        <v>0</v>
      </c>
      <c r="L837" s="79" t="str">
        <f>IFERROR(AVERAGEIFS(Table1[Final Score],Table1[Month],Table1[[#This Row],[Month]],Table1[Year],Table1[[#This Row],[Year]],Table1[Mechanic Name],Table1[[#This Row],[Mechanic Name]]),"")</f>
        <v/>
      </c>
    </row>
    <row r="838" spans="3:12" hidden="1" x14ac:dyDescent="0.35">
      <c r="C838" s="80"/>
      <c r="K838" s="81">
        <f>SUM(Table1[[#This Row],[Technical Knowledge]:[Repeat job nahin aana]])/6</f>
        <v>0</v>
      </c>
      <c r="L838" s="79" t="str">
        <f>IFERROR(AVERAGEIFS(Table1[Final Score],Table1[Month],Table1[[#This Row],[Month]],Table1[Year],Table1[[#This Row],[Year]],Table1[Mechanic Name],Table1[[#This Row],[Mechanic Name]]),"")</f>
        <v/>
      </c>
    </row>
    <row r="839" spans="3:12" hidden="1" x14ac:dyDescent="0.35">
      <c r="C839" s="80"/>
      <c r="K839" s="81">
        <f>SUM(Table1[[#This Row],[Technical Knowledge]:[Repeat job nahin aana]])/6</f>
        <v>0</v>
      </c>
      <c r="L839" s="79" t="str">
        <f>IFERROR(AVERAGEIFS(Table1[Final Score],Table1[Month],Table1[[#This Row],[Month]],Table1[Year],Table1[[#This Row],[Year]],Table1[Mechanic Name],Table1[[#This Row],[Mechanic Name]]),"")</f>
        <v/>
      </c>
    </row>
    <row r="840" spans="3:12" hidden="1" x14ac:dyDescent="0.35">
      <c r="C840" s="80"/>
      <c r="K840" s="81">
        <f>SUM(Table1[[#This Row],[Technical Knowledge]:[Repeat job nahin aana]])/6</f>
        <v>0</v>
      </c>
      <c r="L840" s="79" t="str">
        <f>IFERROR(AVERAGEIFS(Table1[Final Score],Table1[Month],Table1[[#This Row],[Month]],Table1[Year],Table1[[#This Row],[Year]],Table1[Mechanic Name],Table1[[#This Row],[Mechanic Name]]),"")</f>
        <v/>
      </c>
    </row>
    <row r="841" spans="3:12" hidden="1" x14ac:dyDescent="0.35">
      <c r="C841" s="80"/>
      <c r="K841" s="81">
        <f>SUM(Table1[[#This Row],[Technical Knowledge]:[Repeat job nahin aana]])/6</f>
        <v>0</v>
      </c>
      <c r="L841" s="79" t="str">
        <f>IFERROR(AVERAGEIFS(Table1[Final Score],Table1[Month],Table1[[#This Row],[Month]],Table1[Year],Table1[[#This Row],[Year]],Table1[Mechanic Name],Table1[[#This Row],[Mechanic Name]]),"")</f>
        <v/>
      </c>
    </row>
    <row r="842" spans="3:12" hidden="1" x14ac:dyDescent="0.35">
      <c r="C842" s="80"/>
      <c r="K842" s="81">
        <f>SUM(Table1[[#This Row],[Technical Knowledge]:[Repeat job nahin aana]])/6</f>
        <v>0</v>
      </c>
      <c r="L842" s="79" t="str">
        <f>IFERROR(AVERAGEIFS(Table1[Final Score],Table1[Month],Table1[[#This Row],[Month]],Table1[Year],Table1[[#This Row],[Year]],Table1[Mechanic Name],Table1[[#This Row],[Mechanic Name]]),"")</f>
        <v/>
      </c>
    </row>
    <row r="843" spans="3:12" hidden="1" x14ac:dyDescent="0.35">
      <c r="C843" s="80"/>
      <c r="K843" s="81">
        <f>SUM(Table1[[#This Row],[Technical Knowledge]:[Repeat job nahin aana]])/6</f>
        <v>0</v>
      </c>
      <c r="L843" s="79" t="str">
        <f>IFERROR(AVERAGEIFS(Table1[Final Score],Table1[Month],Table1[[#This Row],[Month]],Table1[Year],Table1[[#This Row],[Year]],Table1[Mechanic Name],Table1[[#This Row],[Mechanic Name]]),"")</f>
        <v/>
      </c>
    </row>
    <row r="844" spans="3:12" hidden="1" x14ac:dyDescent="0.35">
      <c r="C844" s="80"/>
      <c r="K844" s="81">
        <f>SUM(Table1[[#This Row],[Technical Knowledge]:[Repeat job nahin aana]])/6</f>
        <v>0</v>
      </c>
      <c r="L844" s="79" t="str">
        <f>IFERROR(AVERAGEIFS(Table1[Final Score],Table1[Month],Table1[[#This Row],[Month]],Table1[Year],Table1[[#This Row],[Year]],Table1[Mechanic Name],Table1[[#This Row],[Mechanic Name]]),"")</f>
        <v/>
      </c>
    </row>
    <row r="845" spans="3:12" hidden="1" x14ac:dyDescent="0.35">
      <c r="C845" s="80"/>
      <c r="K845" s="81">
        <f>SUM(Table1[[#This Row],[Technical Knowledge]:[Repeat job nahin aana]])/6</f>
        <v>0</v>
      </c>
      <c r="L845" s="79" t="str">
        <f>IFERROR(AVERAGEIFS(Table1[Final Score],Table1[Month],Table1[[#This Row],[Month]],Table1[Year],Table1[[#This Row],[Year]],Table1[Mechanic Name],Table1[[#This Row],[Mechanic Name]]),"")</f>
        <v/>
      </c>
    </row>
    <row r="846" spans="3:12" hidden="1" x14ac:dyDescent="0.35">
      <c r="C846" s="80"/>
      <c r="K846" s="81">
        <f>SUM(Table1[[#This Row],[Technical Knowledge]:[Repeat job nahin aana]])/6</f>
        <v>0</v>
      </c>
      <c r="L846" s="79" t="str">
        <f>IFERROR(AVERAGEIFS(Table1[Final Score],Table1[Month],Table1[[#This Row],[Month]],Table1[Year],Table1[[#This Row],[Year]],Table1[Mechanic Name],Table1[[#This Row],[Mechanic Name]]),"")</f>
        <v/>
      </c>
    </row>
    <row r="847" spans="3:12" hidden="1" x14ac:dyDescent="0.35">
      <c r="C847" s="80"/>
      <c r="K847" s="81">
        <f>SUM(Table1[[#This Row],[Technical Knowledge]:[Repeat job nahin aana]])/6</f>
        <v>0</v>
      </c>
      <c r="L847" s="79" t="str">
        <f>IFERROR(AVERAGEIFS(Table1[Final Score],Table1[Month],Table1[[#This Row],[Month]],Table1[Year],Table1[[#This Row],[Year]],Table1[Mechanic Name],Table1[[#This Row],[Mechanic Name]]),"")</f>
        <v/>
      </c>
    </row>
    <row r="848" spans="3:12" hidden="1" x14ac:dyDescent="0.35">
      <c r="C848" s="80"/>
      <c r="K848" s="81">
        <f>SUM(Table1[[#This Row],[Technical Knowledge]:[Repeat job nahin aana]])/6</f>
        <v>0</v>
      </c>
      <c r="L848" s="79" t="str">
        <f>IFERROR(AVERAGEIFS(Table1[Final Score],Table1[Month],Table1[[#This Row],[Month]],Table1[Year],Table1[[#This Row],[Year]],Table1[Mechanic Name],Table1[[#This Row],[Mechanic Name]]),"")</f>
        <v/>
      </c>
    </row>
    <row r="849" spans="3:12" hidden="1" x14ac:dyDescent="0.35">
      <c r="C849" s="80"/>
      <c r="K849" s="81">
        <f>SUM(Table1[[#This Row],[Technical Knowledge]:[Repeat job nahin aana]])/6</f>
        <v>0</v>
      </c>
      <c r="L849" s="79" t="str">
        <f>IFERROR(AVERAGEIFS(Table1[Final Score],Table1[Month],Table1[[#This Row],[Month]],Table1[Year],Table1[[#This Row],[Year]],Table1[Mechanic Name],Table1[[#This Row],[Mechanic Name]]),"")</f>
        <v/>
      </c>
    </row>
    <row r="850" spans="3:12" hidden="1" x14ac:dyDescent="0.35">
      <c r="C850" s="80"/>
      <c r="K850" s="81">
        <f>SUM(Table1[[#This Row],[Technical Knowledge]:[Repeat job nahin aana]])/6</f>
        <v>0</v>
      </c>
      <c r="L850" s="79" t="str">
        <f>IFERROR(AVERAGEIFS(Table1[Final Score],Table1[Month],Table1[[#This Row],[Month]],Table1[Year],Table1[[#This Row],[Year]],Table1[Mechanic Name],Table1[[#This Row],[Mechanic Name]]),"")</f>
        <v/>
      </c>
    </row>
    <row r="851" spans="3:12" hidden="1" x14ac:dyDescent="0.35">
      <c r="C851" s="80"/>
      <c r="K851" s="81">
        <f>SUM(Table1[[#This Row],[Technical Knowledge]:[Repeat job nahin aana]])/6</f>
        <v>0</v>
      </c>
      <c r="L851" s="79" t="str">
        <f>IFERROR(AVERAGEIFS(Table1[Final Score],Table1[Month],Table1[[#This Row],[Month]],Table1[Year],Table1[[#This Row],[Year]],Table1[Mechanic Name],Table1[[#This Row],[Mechanic Name]]),"")</f>
        <v/>
      </c>
    </row>
    <row r="852" spans="3:12" hidden="1" x14ac:dyDescent="0.35">
      <c r="C852" s="80"/>
      <c r="K852" s="81">
        <f>SUM(Table1[[#This Row],[Technical Knowledge]:[Repeat job nahin aana]])/6</f>
        <v>0</v>
      </c>
      <c r="L852" s="79" t="str">
        <f>IFERROR(AVERAGEIFS(Table1[Final Score],Table1[Month],Table1[[#This Row],[Month]],Table1[Year],Table1[[#This Row],[Year]],Table1[Mechanic Name],Table1[[#This Row],[Mechanic Name]]),"")</f>
        <v/>
      </c>
    </row>
    <row r="853" spans="3:12" hidden="1" x14ac:dyDescent="0.35">
      <c r="C853" s="80"/>
      <c r="K853" s="81">
        <f>SUM(Table1[[#This Row],[Technical Knowledge]:[Repeat job nahin aana]])/6</f>
        <v>0</v>
      </c>
      <c r="L853" s="79" t="str">
        <f>IFERROR(AVERAGEIFS(Table1[Final Score],Table1[Month],Table1[[#This Row],[Month]],Table1[Year],Table1[[#This Row],[Year]],Table1[Mechanic Name],Table1[[#This Row],[Mechanic Name]]),"")</f>
        <v/>
      </c>
    </row>
    <row r="854" spans="3:12" hidden="1" x14ac:dyDescent="0.35">
      <c r="C854" s="80"/>
      <c r="K854" s="81">
        <f>SUM(Table1[[#This Row],[Technical Knowledge]:[Repeat job nahin aana]])/6</f>
        <v>0</v>
      </c>
      <c r="L854" s="79" t="str">
        <f>IFERROR(AVERAGEIFS(Table1[Final Score],Table1[Month],Table1[[#This Row],[Month]],Table1[Year],Table1[[#This Row],[Year]],Table1[Mechanic Name],Table1[[#This Row],[Mechanic Name]]),"")</f>
        <v/>
      </c>
    </row>
    <row r="855" spans="3:12" hidden="1" x14ac:dyDescent="0.35">
      <c r="C855" s="80"/>
      <c r="K855" s="81">
        <f>SUM(Table1[[#This Row],[Technical Knowledge]:[Repeat job nahin aana]])/6</f>
        <v>0</v>
      </c>
      <c r="L855" s="79" t="str">
        <f>IFERROR(AVERAGEIFS(Table1[Final Score],Table1[Month],Table1[[#This Row],[Month]],Table1[Year],Table1[[#This Row],[Year]],Table1[Mechanic Name],Table1[[#This Row],[Mechanic Name]]),"")</f>
        <v/>
      </c>
    </row>
    <row r="856" spans="3:12" hidden="1" x14ac:dyDescent="0.35">
      <c r="C856" s="80"/>
      <c r="K856" s="81">
        <f>SUM(Table1[[#This Row],[Technical Knowledge]:[Repeat job nahin aana]])/6</f>
        <v>0</v>
      </c>
      <c r="L856" s="79" t="str">
        <f>IFERROR(AVERAGEIFS(Table1[Final Score],Table1[Month],Table1[[#This Row],[Month]],Table1[Year],Table1[[#This Row],[Year]],Table1[Mechanic Name],Table1[[#This Row],[Mechanic Name]]),"")</f>
        <v/>
      </c>
    </row>
    <row r="857" spans="3:12" hidden="1" x14ac:dyDescent="0.35">
      <c r="C857" s="80"/>
      <c r="K857" s="81">
        <f>SUM(Table1[[#This Row],[Technical Knowledge]:[Repeat job nahin aana]])/6</f>
        <v>0</v>
      </c>
      <c r="L857" s="79" t="str">
        <f>IFERROR(AVERAGEIFS(Table1[Final Score],Table1[Month],Table1[[#This Row],[Month]],Table1[Year],Table1[[#This Row],[Year]],Table1[Mechanic Name],Table1[[#This Row],[Mechanic Name]]),"")</f>
        <v/>
      </c>
    </row>
    <row r="858" spans="3:12" hidden="1" x14ac:dyDescent="0.35">
      <c r="C858" s="80"/>
      <c r="K858" s="81">
        <f>SUM(Table1[[#This Row],[Technical Knowledge]:[Repeat job nahin aana]])/6</f>
        <v>0</v>
      </c>
      <c r="L858" s="79" t="str">
        <f>IFERROR(AVERAGEIFS(Table1[Final Score],Table1[Month],Table1[[#This Row],[Month]],Table1[Year],Table1[[#This Row],[Year]],Table1[Mechanic Name],Table1[[#This Row],[Mechanic Name]]),"")</f>
        <v/>
      </c>
    </row>
    <row r="859" spans="3:12" hidden="1" x14ac:dyDescent="0.35">
      <c r="C859" s="80"/>
      <c r="K859" s="81">
        <f>SUM(Table1[[#This Row],[Technical Knowledge]:[Repeat job nahin aana]])/6</f>
        <v>0</v>
      </c>
      <c r="L859" s="79" t="str">
        <f>IFERROR(AVERAGEIFS(Table1[Final Score],Table1[Month],Table1[[#This Row],[Month]],Table1[Year],Table1[[#This Row],[Year]],Table1[Mechanic Name],Table1[[#This Row],[Mechanic Name]]),"")</f>
        <v/>
      </c>
    </row>
    <row r="860" spans="3:12" hidden="1" x14ac:dyDescent="0.35">
      <c r="C860" s="80"/>
      <c r="K860" s="81">
        <f>SUM(Table1[[#This Row],[Technical Knowledge]:[Repeat job nahin aana]])/6</f>
        <v>0</v>
      </c>
      <c r="L860" s="79" t="str">
        <f>IFERROR(AVERAGEIFS(Table1[Final Score],Table1[Month],Table1[[#This Row],[Month]],Table1[Year],Table1[[#This Row],[Year]],Table1[Mechanic Name],Table1[[#This Row],[Mechanic Name]]),"")</f>
        <v/>
      </c>
    </row>
    <row r="861" spans="3:12" hidden="1" x14ac:dyDescent="0.35">
      <c r="C861" s="80"/>
      <c r="K861" s="81">
        <f>SUM(Table1[[#This Row],[Technical Knowledge]:[Repeat job nahin aana]])/6</f>
        <v>0</v>
      </c>
      <c r="L861" s="79" t="str">
        <f>IFERROR(AVERAGEIFS(Table1[Final Score],Table1[Month],Table1[[#This Row],[Month]],Table1[Year],Table1[[#This Row],[Year]],Table1[Mechanic Name],Table1[[#This Row],[Mechanic Name]]),"")</f>
        <v/>
      </c>
    </row>
    <row r="862" spans="3:12" hidden="1" x14ac:dyDescent="0.35">
      <c r="C862" s="80"/>
      <c r="K862" s="81">
        <f>SUM(Table1[[#This Row],[Technical Knowledge]:[Repeat job nahin aana]])/6</f>
        <v>0</v>
      </c>
      <c r="L862" s="79" t="str">
        <f>IFERROR(AVERAGEIFS(Table1[Final Score],Table1[Month],Table1[[#This Row],[Month]],Table1[Year],Table1[[#This Row],[Year]],Table1[Mechanic Name],Table1[[#This Row],[Mechanic Name]]),"")</f>
        <v/>
      </c>
    </row>
    <row r="863" spans="3:12" hidden="1" x14ac:dyDescent="0.35">
      <c r="C863" s="80"/>
      <c r="K863" s="81">
        <f>SUM(Table1[[#This Row],[Technical Knowledge]:[Repeat job nahin aana]])/6</f>
        <v>0</v>
      </c>
      <c r="L863" s="79" t="str">
        <f>IFERROR(AVERAGEIFS(Table1[Final Score],Table1[Month],Table1[[#This Row],[Month]],Table1[Year],Table1[[#This Row],[Year]],Table1[Mechanic Name],Table1[[#This Row],[Mechanic Name]]),"")</f>
        <v/>
      </c>
    </row>
    <row r="864" spans="3:12" hidden="1" x14ac:dyDescent="0.35">
      <c r="C864" s="80"/>
      <c r="K864" s="81">
        <f>SUM(Table1[[#This Row],[Technical Knowledge]:[Repeat job nahin aana]])/6</f>
        <v>0</v>
      </c>
      <c r="L864" s="79" t="str">
        <f>IFERROR(AVERAGEIFS(Table1[Final Score],Table1[Month],Table1[[#This Row],[Month]],Table1[Year],Table1[[#This Row],[Year]],Table1[Mechanic Name],Table1[[#This Row],[Mechanic Name]]),"")</f>
        <v/>
      </c>
    </row>
    <row r="865" spans="3:12" hidden="1" x14ac:dyDescent="0.35">
      <c r="C865" s="80"/>
      <c r="K865" s="81">
        <f>SUM(Table1[[#This Row],[Technical Knowledge]:[Repeat job nahin aana]])/6</f>
        <v>0</v>
      </c>
      <c r="L865" s="79" t="str">
        <f>IFERROR(AVERAGEIFS(Table1[Final Score],Table1[Month],Table1[[#This Row],[Month]],Table1[Year],Table1[[#This Row],[Year]],Table1[Mechanic Name],Table1[[#This Row],[Mechanic Name]]),"")</f>
        <v/>
      </c>
    </row>
    <row r="866" spans="3:12" hidden="1" x14ac:dyDescent="0.35">
      <c r="C866" s="80"/>
      <c r="K866" s="81">
        <f>SUM(Table1[[#This Row],[Technical Knowledge]:[Repeat job nahin aana]])/6</f>
        <v>0</v>
      </c>
      <c r="L866" s="79" t="str">
        <f>IFERROR(AVERAGEIFS(Table1[Final Score],Table1[Month],Table1[[#This Row],[Month]],Table1[Year],Table1[[#This Row],[Year]],Table1[Mechanic Name],Table1[[#This Row],[Mechanic Name]]),"")</f>
        <v/>
      </c>
    </row>
    <row r="867" spans="3:12" hidden="1" x14ac:dyDescent="0.35">
      <c r="C867" s="80"/>
      <c r="K867" s="81">
        <f>SUM(Table1[[#This Row],[Technical Knowledge]:[Repeat job nahin aana]])/6</f>
        <v>0</v>
      </c>
      <c r="L867" s="79" t="str">
        <f>IFERROR(AVERAGEIFS(Table1[Final Score],Table1[Month],Table1[[#This Row],[Month]],Table1[Year],Table1[[#This Row],[Year]],Table1[Mechanic Name],Table1[[#This Row],[Mechanic Name]]),"")</f>
        <v/>
      </c>
    </row>
    <row r="868" spans="3:12" hidden="1" x14ac:dyDescent="0.35">
      <c r="C868" s="80"/>
      <c r="K868" s="81">
        <f>SUM(Table1[[#This Row],[Technical Knowledge]:[Repeat job nahin aana]])/6</f>
        <v>0</v>
      </c>
      <c r="L868" s="79" t="str">
        <f>IFERROR(AVERAGEIFS(Table1[Final Score],Table1[Month],Table1[[#This Row],[Month]],Table1[Year],Table1[[#This Row],[Year]],Table1[Mechanic Name],Table1[[#This Row],[Mechanic Name]]),"")</f>
        <v/>
      </c>
    </row>
    <row r="869" spans="3:12" hidden="1" x14ac:dyDescent="0.35">
      <c r="C869" s="80"/>
      <c r="K869" s="81">
        <f>SUM(Table1[[#This Row],[Technical Knowledge]:[Repeat job nahin aana]])/6</f>
        <v>0</v>
      </c>
      <c r="L869" s="79" t="str">
        <f>IFERROR(AVERAGEIFS(Table1[Final Score],Table1[Month],Table1[[#This Row],[Month]],Table1[Year],Table1[[#This Row],[Year]],Table1[Mechanic Name],Table1[[#This Row],[Mechanic Name]]),"")</f>
        <v/>
      </c>
    </row>
    <row r="870" spans="3:12" hidden="1" x14ac:dyDescent="0.35">
      <c r="C870" s="80"/>
      <c r="K870" s="81">
        <f>SUM(Table1[[#This Row],[Technical Knowledge]:[Repeat job nahin aana]])/6</f>
        <v>0</v>
      </c>
      <c r="L870" s="79" t="str">
        <f>IFERROR(AVERAGEIFS(Table1[Final Score],Table1[Month],Table1[[#This Row],[Month]],Table1[Year],Table1[[#This Row],[Year]],Table1[Mechanic Name],Table1[[#This Row],[Mechanic Name]]),"")</f>
        <v/>
      </c>
    </row>
    <row r="871" spans="3:12" hidden="1" x14ac:dyDescent="0.35">
      <c r="C871" s="80"/>
      <c r="K871" s="81">
        <f>SUM(Table1[[#This Row],[Technical Knowledge]:[Repeat job nahin aana]])/6</f>
        <v>0</v>
      </c>
      <c r="L871" s="79" t="str">
        <f>IFERROR(AVERAGEIFS(Table1[Final Score],Table1[Month],Table1[[#This Row],[Month]],Table1[Year],Table1[[#This Row],[Year]],Table1[Mechanic Name],Table1[[#This Row],[Mechanic Name]]),"")</f>
        <v/>
      </c>
    </row>
    <row r="872" spans="3:12" hidden="1" x14ac:dyDescent="0.35">
      <c r="C872" s="80"/>
      <c r="K872" s="81">
        <f>SUM(Table1[[#This Row],[Technical Knowledge]:[Repeat job nahin aana]])/6</f>
        <v>0</v>
      </c>
      <c r="L872" s="79" t="str">
        <f>IFERROR(AVERAGEIFS(Table1[Final Score],Table1[Month],Table1[[#This Row],[Month]],Table1[Year],Table1[[#This Row],[Year]],Table1[Mechanic Name],Table1[[#This Row],[Mechanic Name]]),"")</f>
        <v/>
      </c>
    </row>
    <row r="873" spans="3:12" hidden="1" x14ac:dyDescent="0.35">
      <c r="C873" s="80"/>
      <c r="K873" s="81">
        <f>SUM(Table1[[#This Row],[Technical Knowledge]:[Repeat job nahin aana]])/6</f>
        <v>0</v>
      </c>
      <c r="L873" s="79" t="str">
        <f>IFERROR(AVERAGEIFS(Table1[Final Score],Table1[Month],Table1[[#This Row],[Month]],Table1[Year],Table1[[#This Row],[Year]],Table1[Mechanic Name],Table1[[#This Row],[Mechanic Name]]),"")</f>
        <v/>
      </c>
    </row>
    <row r="874" spans="3:12" hidden="1" x14ac:dyDescent="0.35">
      <c r="C874" s="80"/>
      <c r="K874" s="81">
        <f>SUM(Table1[[#This Row],[Technical Knowledge]:[Repeat job nahin aana]])/6</f>
        <v>0</v>
      </c>
      <c r="L874" s="79" t="str">
        <f>IFERROR(AVERAGEIFS(Table1[Final Score],Table1[Month],Table1[[#This Row],[Month]],Table1[Year],Table1[[#This Row],[Year]],Table1[Mechanic Name],Table1[[#This Row],[Mechanic Name]]),"")</f>
        <v/>
      </c>
    </row>
    <row r="875" spans="3:12" hidden="1" x14ac:dyDescent="0.35">
      <c r="C875" s="80"/>
      <c r="K875" s="81">
        <f>SUM(Table1[[#This Row],[Technical Knowledge]:[Repeat job nahin aana]])/6</f>
        <v>0</v>
      </c>
      <c r="L875" s="79" t="str">
        <f>IFERROR(AVERAGEIFS(Table1[Final Score],Table1[Month],Table1[[#This Row],[Month]],Table1[Year],Table1[[#This Row],[Year]],Table1[Mechanic Name],Table1[[#This Row],[Mechanic Name]]),"")</f>
        <v/>
      </c>
    </row>
    <row r="876" spans="3:12" hidden="1" x14ac:dyDescent="0.35">
      <c r="C876" s="80"/>
      <c r="K876" s="81">
        <f>SUM(Table1[[#This Row],[Technical Knowledge]:[Repeat job nahin aana]])/6</f>
        <v>0</v>
      </c>
      <c r="L876" s="79" t="str">
        <f>IFERROR(AVERAGEIFS(Table1[Final Score],Table1[Month],Table1[[#This Row],[Month]],Table1[Year],Table1[[#This Row],[Year]],Table1[Mechanic Name],Table1[[#This Row],[Mechanic Name]]),"")</f>
        <v/>
      </c>
    </row>
    <row r="877" spans="3:12" hidden="1" x14ac:dyDescent="0.35">
      <c r="C877" s="80"/>
      <c r="K877" s="81">
        <f>SUM(Table1[[#This Row],[Technical Knowledge]:[Repeat job nahin aana]])/6</f>
        <v>0</v>
      </c>
      <c r="L877" s="79" t="str">
        <f>IFERROR(AVERAGEIFS(Table1[Final Score],Table1[Month],Table1[[#This Row],[Month]],Table1[Year],Table1[[#This Row],[Year]],Table1[Mechanic Name],Table1[[#This Row],[Mechanic Name]]),"")</f>
        <v/>
      </c>
    </row>
    <row r="878" spans="3:12" hidden="1" x14ac:dyDescent="0.35">
      <c r="C878" s="80"/>
      <c r="K878" s="81">
        <f>SUM(Table1[[#This Row],[Technical Knowledge]:[Repeat job nahin aana]])/6</f>
        <v>0</v>
      </c>
      <c r="L878" s="79" t="str">
        <f>IFERROR(AVERAGEIFS(Table1[Final Score],Table1[Month],Table1[[#This Row],[Month]],Table1[Year],Table1[[#This Row],[Year]],Table1[Mechanic Name],Table1[[#This Row],[Mechanic Name]]),"")</f>
        <v/>
      </c>
    </row>
    <row r="879" spans="3:12" hidden="1" x14ac:dyDescent="0.35">
      <c r="C879" s="80"/>
      <c r="K879" s="81">
        <f>SUM(Table1[[#This Row],[Technical Knowledge]:[Repeat job nahin aana]])/6</f>
        <v>0</v>
      </c>
      <c r="L879" s="79" t="str">
        <f>IFERROR(AVERAGEIFS(Table1[Final Score],Table1[Month],Table1[[#This Row],[Month]],Table1[Year],Table1[[#This Row],[Year]],Table1[Mechanic Name],Table1[[#This Row],[Mechanic Name]]),"")</f>
        <v/>
      </c>
    </row>
    <row r="880" spans="3:12" hidden="1" x14ac:dyDescent="0.35">
      <c r="C880" s="80"/>
      <c r="K880" s="81">
        <f>SUM(Table1[[#This Row],[Technical Knowledge]:[Repeat job nahin aana]])/6</f>
        <v>0</v>
      </c>
      <c r="L880" s="79" t="str">
        <f>IFERROR(AVERAGEIFS(Table1[Final Score],Table1[Month],Table1[[#This Row],[Month]],Table1[Year],Table1[[#This Row],[Year]],Table1[Mechanic Name],Table1[[#This Row],[Mechanic Name]]),"")</f>
        <v/>
      </c>
    </row>
    <row r="881" spans="3:12" hidden="1" x14ac:dyDescent="0.35">
      <c r="C881" s="80"/>
      <c r="K881" s="81">
        <f>SUM(Table1[[#This Row],[Technical Knowledge]:[Repeat job nahin aana]])/6</f>
        <v>0</v>
      </c>
      <c r="L881" s="79" t="str">
        <f>IFERROR(AVERAGEIFS(Table1[Final Score],Table1[Month],Table1[[#This Row],[Month]],Table1[Year],Table1[[#This Row],[Year]],Table1[Mechanic Name],Table1[[#This Row],[Mechanic Name]]),"")</f>
        <v/>
      </c>
    </row>
    <row r="882" spans="3:12" hidden="1" x14ac:dyDescent="0.35">
      <c r="C882" s="80"/>
      <c r="K882" s="81">
        <f>SUM(Table1[[#This Row],[Technical Knowledge]:[Repeat job nahin aana]])/6</f>
        <v>0</v>
      </c>
      <c r="L882" s="79" t="str">
        <f>IFERROR(AVERAGEIFS(Table1[Final Score],Table1[Month],Table1[[#This Row],[Month]],Table1[Year],Table1[[#This Row],[Year]],Table1[Mechanic Name],Table1[[#This Row],[Mechanic Name]]),"")</f>
        <v/>
      </c>
    </row>
    <row r="883" spans="3:12" hidden="1" x14ac:dyDescent="0.35">
      <c r="C883" s="80"/>
      <c r="K883" s="81">
        <f>SUM(Table1[[#This Row],[Technical Knowledge]:[Repeat job nahin aana]])/6</f>
        <v>0</v>
      </c>
      <c r="L883" s="79" t="str">
        <f>IFERROR(AVERAGEIFS(Table1[Final Score],Table1[Month],Table1[[#This Row],[Month]],Table1[Year],Table1[[#This Row],[Year]],Table1[Mechanic Name],Table1[[#This Row],[Mechanic Name]]),"")</f>
        <v/>
      </c>
    </row>
    <row r="884" spans="3:12" hidden="1" x14ac:dyDescent="0.35">
      <c r="C884" s="80"/>
      <c r="K884" s="81">
        <f>SUM(Table1[[#This Row],[Technical Knowledge]:[Repeat job nahin aana]])/6</f>
        <v>0</v>
      </c>
      <c r="L884" s="79" t="str">
        <f>IFERROR(AVERAGEIFS(Table1[Final Score],Table1[Month],Table1[[#This Row],[Month]],Table1[Year],Table1[[#This Row],[Year]],Table1[Mechanic Name],Table1[[#This Row],[Mechanic Name]]),"")</f>
        <v/>
      </c>
    </row>
    <row r="885" spans="3:12" hidden="1" x14ac:dyDescent="0.35">
      <c r="C885" s="80"/>
      <c r="K885" s="81">
        <f>SUM(Table1[[#This Row],[Technical Knowledge]:[Repeat job nahin aana]])/6</f>
        <v>0</v>
      </c>
      <c r="L885" s="79" t="str">
        <f>IFERROR(AVERAGEIFS(Table1[Final Score],Table1[Month],Table1[[#This Row],[Month]],Table1[Year],Table1[[#This Row],[Year]],Table1[Mechanic Name],Table1[[#This Row],[Mechanic Name]]),"")</f>
        <v/>
      </c>
    </row>
    <row r="886" spans="3:12" hidden="1" x14ac:dyDescent="0.35">
      <c r="C886" s="80"/>
      <c r="K886" s="81">
        <f>SUM(Table1[[#This Row],[Technical Knowledge]:[Repeat job nahin aana]])/6</f>
        <v>0</v>
      </c>
      <c r="L886" s="79" t="str">
        <f>IFERROR(AVERAGEIFS(Table1[Final Score],Table1[Month],Table1[[#This Row],[Month]],Table1[Year],Table1[[#This Row],[Year]],Table1[Mechanic Name],Table1[[#This Row],[Mechanic Name]]),"")</f>
        <v/>
      </c>
    </row>
    <row r="887" spans="3:12" hidden="1" x14ac:dyDescent="0.35">
      <c r="C887" s="80"/>
      <c r="K887" s="81">
        <f>SUM(Table1[[#This Row],[Technical Knowledge]:[Repeat job nahin aana]])/6</f>
        <v>0</v>
      </c>
      <c r="L887" s="79" t="str">
        <f>IFERROR(AVERAGEIFS(Table1[Final Score],Table1[Month],Table1[[#This Row],[Month]],Table1[Year],Table1[[#This Row],[Year]],Table1[Mechanic Name],Table1[[#This Row],[Mechanic Name]]),"")</f>
        <v/>
      </c>
    </row>
    <row r="888" spans="3:12" hidden="1" x14ac:dyDescent="0.35">
      <c r="C888" s="80"/>
      <c r="K888" s="81">
        <f>SUM(Table1[[#This Row],[Technical Knowledge]:[Repeat job nahin aana]])/6</f>
        <v>0</v>
      </c>
      <c r="L888" s="79" t="str">
        <f>IFERROR(AVERAGEIFS(Table1[Final Score],Table1[Month],Table1[[#This Row],[Month]],Table1[Year],Table1[[#This Row],[Year]],Table1[Mechanic Name],Table1[[#This Row],[Mechanic Name]]),"")</f>
        <v/>
      </c>
    </row>
    <row r="889" spans="3:12" hidden="1" x14ac:dyDescent="0.35">
      <c r="C889" s="80"/>
      <c r="K889" s="81">
        <f>SUM(Table1[[#This Row],[Technical Knowledge]:[Repeat job nahin aana]])/6</f>
        <v>0</v>
      </c>
      <c r="L889" s="79" t="str">
        <f>IFERROR(AVERAGEIFS(Table1[Final Score],Table1[Month],Table1[[#This Row],[Month]],Table1[Year],Table1[[#This Row],[Year]],Table1[Mechanic Name],Table1[[#This Row],[Mechanic Name]]),"")</f>
        <v/>
      </c>
    </row>
    <row r="890" spans="3:12" hidden="1" x14ac:dyDescent="0.35">
      <c r="C890" s="80"/>
      <c r="K890" s="81">
        <f>SUM(Table1[[#This Row],[Technical Knowledge]:[Repeat job nahin aana]])/6</f>
        <v>0</v>
      </c>
      <c r="L890" s="79" t="str">
        <f>IFERROR(AVERAGEIFS(Table1[Final Score],Table1[Month],Table1[[#This Row],[Month]],Table1[Year],Table1[[#This Row],[Year]],Table1[Mechanic Name],Table1[[#This Row],[Mechanic Name]]),"")</f>
        <v/>
      </c>
    </row>
    <row r="891" spans="3:12" hidden="1" x14ac:dyDescent="0.35">
      <c r="C891" s="80"/>
      <c r="K891" s="81">
        <f>SUM(Table1[[#This Row],[Technical Knowledge]:[Repeat job nahin aana]])/6</f>
        <v>0</v>
      </c>
      <c r="L891" s="79" t="str">
        <f>IFERROR(AVERAGEIFS(Table1[Final Score],Table1[Month],Table1[[#This Row],[Month]],Table1[Year],Table1[[#This Row],[Year]],Table1[Mechanic Name],Table1[[#This Row],[Mechanic Name]]),"")</f>
        <v/>
      </c>
    </row>
    <row r="892" spans="3:12" hidden="1" x14ac:dyDescent="0.35">
      <c r="C892" s="80"/>
      <c r="K892" s="81">
        <f>SUM(Table1[[#This Row],[Technical Knowledge]:[Repeat job nahin aana]])/6</f>
        <v>0</v>
      </c>
      <c r="L892" s="79" t="str">
        <f>IFERROR(AVERAGEIFS(Table1[Final Score],Table1[Month],Table1[[#This Row],[Month]],Table1[Year],Table1[[#This Row],[Year]],Table1[Mechanic Name],Table1[[#This Row],[Mechanic Name]]),"")</f>
        <v/>
      </c>
    </row>
    <row r="893" spans="3:12" hidden="1" x14ac:dyDescent="0.35">
      <c r="C893" s="80"/>
      <c r="K893" s="81">
        <f>SUM(Table1[[#This Row],[Technical Knowledge]:[Repeat job nahin aana]])/6</f>
        <v>0</v>
      </c>
      <c r="L893" s="79" t="str">
        <f>IFERROR(AVERAGEIFS(Table1[Final Score],Table1[Month],Table1[[#This Row],[Month]],Table1[Year],Table1[[#This Row],[Year]],Table1[Mechanic Name],Table1[[#This Row],[Mechanic Name]]),"")</f>
        <v/>
      </c>
    </row>
    <row r="894" spans="3:12" hidden="1" x14ac:dyDescent="0.35">
      <c r="C894" s="80"/>
      <c r="K894" s="81">
        <f>SUM(Table1[[#This Row],[Technical Knowledge]:[Repeat job nahin aana]])/6</f>
        <v>0</v>
      </c>
      <c r="L894" s="79" t="str">
        <f>IFERROR(AVERAGEIFS(Table1[Final Score],Table1[Month],Table1[[#This Row],[Month]],Table1[Year],Table1[[#This Row],[Year]],Table1[Mechanic Name],Table1[[#This Row],[Mechanic Name]]),"")</f>
        <v/>
      </c>
    </row>
    <row r="895" spans="3:12" hidden="1" x14ac:dyDescent="0.35">
      <c r="C895" s="80"/>
      <c r="K895" s="81">
        <f>SUM(Table1[[#This Row],[Technical Knowledge]:[Repeat job nahin aana]])/6</f>
        <v>0</v>
      </c>
      <c r="L895" s="79" t="str">
        <f>IFERROR(AVERAGEIFS(Table1[Final Score],Table1[Month],Table1[[#This Row],[Month]],Table1[Year],Table1[[#This Row],[Year]],Table1[Mechanic Name],Table1[[#This Row],[Mechanic Name]]),"")</f>
        <v/>
      </c>
    </row>
    <row r="896" spans="3:12" hidden="1" x14ac:dyDescent="0.35">
      <c r="C896" s="80"/>
      <c r="K896" s="81">
        <f>SUM(Table1[[#This Row],[Technical Knowledge]:[Repeat job nahin aana]])/6</f>
        <v>0</v>
      </c>
      <c r="L896" s="79" t="str">
        <f>IFERROR(AVERAGEIFS(Table1[Final Score],Table1[Month],Table1[[#This Row],[Month]],Table1[Year],Table1[[#This Row],[Year]],Table1[Mechanic Name],Table1[[#This Row],[Mechanic Name]]),"")</f>
        <v/>
      </c>
    </row>
    <row r="897" spans="3:12" hidden="1" x14ac:dyDescent="0.35">
      <c r="C897" s="80"/>
      <c r="K897" s="81">
        <f>SUM(Table1[[#This Row],[Technical Knowledge]:[Repeat job nahin aana]])/6</f>
        <v>0</v>
      </c>
      <c r="L897" s="79" t="str">
        <f>IFERROR(AVERAGEIFS(Table1[Final Score],Table1[Month],Table1[[#This Row],[Month]],Table1[Year],Table1[[#This Row],[Year]],Table1[Mechanic Name],Table1[[#This Row],[Mechanic Name]]),"")</f>
        <v/>
      </c>
    </row>
    <row r="898" spans="3:12" hidden="1" x14ac:dyDescent="0.35">
      <c r="C898" s="80"/>
      <c r="K898" s="81">
        <f>SUM(Table1[[#This Row],[Technical Knowledge]:[Repeat job nahin aana]])/6</f>
        <v>0</v>
      </c>
      <c r="L898" s="79" t="str">
        <f>IFERROR(AVERAGEIFS(Table1[Final Score],Table1[Month],Table1[[#This Row],[Month]],Table1[Year],Table1[[#This Row],[Year]],Table1[Mechanic Name],Table1[[#This Row],[Mechanic Name]]),"")</f>
        <v/>
      </c>
    </row>
    <row r="899" spans="3:12" hidden="1" x14ac:dyDescent="0.35">
      <c r="C899" s="80"/>
      <c r="K899" s="81">
        <f>SUM(Table1[[#This Row],[Technical Knowledge]:[Repeat job nahin aana]])/6</f>
        <v>0</v>
      </c>
      <c r="L899" s="79" t="str">
        <f>IFERROR(AVERAGEIFS(Table1[Final Score],Table1[Month],Table1[[#This Row],[Month]],Table1[Year],Table1[[#This Row],[Year]],Table1[Mechanic Name],Table1[[#This Row],[Mechanic Name]]),"")</f>
        <v/>
      </c>
    </row>
    <row r="900" spans="3:12" hidden="1" x14ac:dyDescent="0.35">
      <c r="C900" s="80"/>
      <c r="K900" s="81">
        <f>SUM(Table1[[#This Row],[Technical Knowledge]:[Repeat job nahin aana]])/6</f>
        <v>0</v>
      </c>
      <c r="L900" s="79" t="str">
        <f>IFERROR(AVERAGEIFS(Table1[Final Score],Table1[Month],Table1[[#This Row],[Month]],Table1[Year],Table1[[#This Row],[Year]],Table1[Mechanic Name],Table1[[#This Row],[Mechanic Name]]),"")</f>
        <v/>
      </c>
    </row>
    <row r="901" spans="3:12" hidden="1" x14ac:dyDescent="0.35">
      <c r="C901" s="80"/>
      <c r="K901" s="81">
        <f>SUM(Table1[[#This Row],[Technical Knowledge]:[Repeat job nahin aana]])/6</f>
        <v>0</v>
      </c>
      <c r="L901" s="79" t="str">
        <f>IFERROR(AVERAGEIFS(Table1[Final Score],Table1[Month],Table1[[#This Row],[Month]],Table1[Year],Table1[[#This Row],[Year]],Table1[Mechanic Name],Table1[[#This Row],[Mechanic Name]]),"")</f>
        <v/>
      </c>
    </row>
    <row r="902" spans="3:12" hidden="1" x14ac:dyDescent="0.35">
      <c r="C902" s="80"/>
      <c r="K902" s="81">
        <f>SUM(Table1[[#This Row],[Technical Knowledge]:[Repeat job nahin aana]])/6</f>
        <v>0</v>
      </c>
      <c r="L902" s="79" t="str">
        <f>IFERROR(AVERAGEIFS(Table1[Final Score],Table1[Month],Table1[[#This Row],[Month]],Table1[Year],Table1[[#This Row],[Year]],Table1[Mechanic Name],Table1[[#This Row],[Mechanic Name]]),"")</f>
        <v/>
      </c>
    </row>
    <row r="903" spans="3:12" hidden="1" x14ac:dyDescent="0.35">
      <c r="C903" s="80"/>
      <c r="K903" s="81">
        <f>SUM(Table1[[#This Row],[Technical Knowledge]:[Repeat job nahin aana]])/6</f>
        <v>0</v>
      </c>
      <c r="L903" s="79" t="str">
        <f>IFERROR(AVERAGEIFS(Table1[Final Score],Table1[Month],Table1[[#This Row],[Month]],Table1[Year],Table1[[#This Row],[Year]],Table1[Mechanic Name],Table1[[#This Row],[Mechanic Name]]),"")</f>
        <v/>
      </c>
    </row>
    <row r="904" spans="3:12" hidden="1" x14ac:dyDescent="0.35">
      <c r="C904" s="80"/>
      <c r="K904" s="81">
        <f>SUM(Table1[[#This Row],[Technical Knowledge]:[Repeat job nahin aana]])/6</f>
        <v>0</v>
      </c>
      <c r="L904" s="79" t="str">
        <f>IFERROR(AVERAGEIFS(Table1[Final Score],Table1[Month],Table1[[#This Row],[Month]],Table1[Year],Table1[[#This Row],[Year]],Table1[Mechanic Name],Table1[[#This Row],[Mechanic Name]]),"")</f>
        <v/>
      </c>
    </row>
    <row r="905" spans="3:12" hidden="1" x14ac:dyDescent="0.35">
      <c r="C905" s="80"/>
      <c r="K905" s="81">
        <f>SUM(Table1[[#This Row],[Technical Knowledge]:[Repeat job nahin aana]])/6</f>
        <v>0</v>
      </c>
      <c r="L905" s="79" t="str">
        <f>IFERROR(AVERAGEIFS(Table1[Final Score],Table1[Month],Table1[[#This Row],[Month]],Table1[Year],Table1[[#This Row],[Year]],Table1[Mechanic Name],Table1[[#This Row],[Mechanic Name]]),"")</f>
        <v/>
      </c>
    </row>
    <row r="906" spans="3:12" hidden="1" x14ac:dyDescent="0.35">
      <c r="C906" s="80"/>
      <c r="K906" s="81">
        <f>SUM(Table1[[#This Row],[Technical Knowledge]:[Repeat job nahin aana]])/6</f>
        <v>0</v>
      </c>
      <c r="L906" s="79" t="str">
        <f>IFERROR(AVERAGEIFS(Table1[Final Score],Table1[Month],Table1[[#This Row],[Month]],Table1[Year],Table1[[#This Row],[Year]],Table1[Mechanic Name],Table1[[#This Row],[Mechanic Name]]),"")</f>
        <v/>
      </c>
    </row>
    <row r="907" spans="3:12" hidden="1" x14ac:dyDescent="0.35">
      <c r="C907" s="80"/>
      <c r="K907" s="81">
        <f>SUM(Table1[[#This Row],[Technical Knowledge]:[Repeat job nahin aana]])/6</f>
        <v>0</v>
      </c>
      <c r="L907" s="79" t="str">
        <f>IFERROR(AVERAGEIFS(Table1[Final Score],Table1[Month],Table1[[#This Row],[Month]],Table1[Year],Table1[[#This Row],[Year]],Table1[Mechanic Name],Table1[[#This Row],[Mechanic Name]]),"")</f>
        <v/>
      </c>
    </row>
    <row r="908" spans="3:12" hidden="1" x14ac:dyDescent="0.35">
      <c r="C908" s="80"/>
      <c r="K908" s="81">
        <f>SUM(Table1[[#This Row],[Technical Knowledge]:[Repeat job nahin aana]])/6</f>
        <v>0</v>
      </c>
      <c r="L908" s="79" t="str">
        <f>IFERROR(AVERAGEIFS(Table1[Final Score],Table1[Month],Table1[[#This Row],[Month]],Table1[Year],Table1[[#This Row],[Year]],Table1[Mechanic Name],Table1[[#This Row],[Mechanic Name]]),"")</f>
        <v/>
      </c>
    </row>
    <row r="909" spans="3:12" hidden="1" x14ac:dyDescent="0.35">
      <c r="C909" s="80"/>
      <c r="K909" s="81">
        <f>SUM(Table1[[#This Row],[Technical Knowledge]:[Repeat job nahin aana]])/6</f>
        <v>0</v>
      </c>
      <c r="L909" s="79" t="str">
        <f>IFERROR(AVERAGEIFS(Table1[Final Score],Table1[Month],Table1[[#This Row],[Month]],Table1[Year],Table1[[#This Row],[Year]],Table1[Mechanic Name],Table1[[#This Row],[Mechanic Name]]),"")</f>
        <v/>
      </c>
    </row>
    <row r="910" spans="3:12" hidden="1" x14ac:dyDescent="0.35">
      <c r="C910" s="80"/>
      <c r="K910" s="81">
        <f>SUM(Table1[[#This Row],[Technical Knowledge]:[Repeat job nahin aana]])/6</f>
        <v>0</v>
      </c>
      <c r="L910" s="79" t="str">
        <f>IFERROR(AVERAGEIFS(Table1[Final Score],Table1[Month],Table1[[#This Row],[Month]],Table1[Year],Table1[[#This Row],[Year]],Table1[Mechanic Name],Table1[[#This Row],[Mechanic Name]]),"")</f>
        <v/>
      </c>
    </row>
    <row r="911" spans="3:12" hidden="1" x14ac:dyDescent="0.35">
      <c r="C911" s="80"/>
      <c r="K911" s="81">
        <f>SUM(Table1[[#This Row],[Technical Knowledge]:[Repeat job nahin aana]])/6</f>
        <v>0</v>
      </c>
      <c r="L911" s="79" t="str">
        <f>IFERROR(AVERAGEIFS(Table1[Final Score],Table1[Month],Table1[[#This Row],[Month]],Table1[Year],Table1[[#This Row],[Year]],Table1[Mechanic Name],Table1[[#This Row],[Mechanic Name]]),"")</f>
        <v/>
      </c>
    </row>
    <row r="912" spans="3:12" hidden="1" x14ac:dyDescent="0.35">
      <c r="C912" s="80"/>
      <c r="K912" s="81">
        <f>SUM(Table1[[#This Row],[Technical Knowledge]:[Repeat job nahin aana]])/6</f>
        <v>0</v>
      </c>
      <c r="L912" s="79" t="str">
        <f>IFERROR(AVERAGEIFS(Table1[Final Score],Table1[Month],Table1[[#This Row],[Month]],Table1[Year],Table1[[#This Row],[Year]],Table1[Mechanic Name],Table1[[#This Row],[Mechanic Name]]),"")</f>
        <v/>
      </c>
    </row>
    <row r="913" spans="3:12" hidden="1" x14ac:dyDescent="0.35">
      <c r="C913" s="80"/>
      <c r="K913" s="81">
        <f>SUM(Table1[[#This Row],[Technical Knowledge]:[Repeat job nahin aana]])/6</f>
        <v>0</v>
      </c>
      <c r="L913" s="79" t="str">
        <f>IFERROR(AVERAGEIFS(Table1[Final Score],Table1[Month],Table1[[#This Row],[Month]],Table1[Year],Table1[[#This Row],[Year]],Table1[Mechanic Name],Table1[[#This Row],[Mechanic Name]]),"")</f>
        <v/>
      </c>
    </row>
    <row r="914" spans="3:12" hidden="1" x14ac:dyDescent="0.35">
      <c r="C914" s="80"/>
      <c r="K914" s="81">
        <f>SUM(Table1[[#This Row],[Technical Knowledge]:[Repeat job nahin aana]])/6</f>
        <v>0</v>
      </c>
      <c r="L914" s="79" t="str">
        <f>IFERROR(AVERAGEIFS(Table1[Final Score],Table1[Month],Table1[[#This Row],[Month]],Table1[Year],Table1[[#This Row],[Year]],Table1[Mechanic Name],Table1[[#This Row],[Mechanic Name]]),"")</f>
        <v/>
      </c>
    </row>
    <row r="915" spans="3:12" hidden="1" x14ac:dyDescent="0.35">
      <c r="C915" s="80"/>
      <c r="K915" s="81">
        <f>SUM(Table1[[#This Row],[Technical Knowledge]:[Repeat job nahin aana]])/6</f>
        <v>0</v>
      </c>
      <c r="L915" s="79" t="str">
        <f>IFERROR(AVERAGEIFS(Table1[Final Score],Table1[Month],Table1[[#This Row],[Month]],Table1[Year],Table1[[#This Row],[Year]],Table1[Mechanic Name],Table1[[#This Row],[Mechanic Name]]),"")</f>
        <v/>
      </c>
    </row>
    <row r="916" spans="3:12" hidden="1" x14ac:dyDescent="0.35">
      <c r="C916" s="80"/>
      <c r="K916" s="81">
        <f>SUM(Table1[[#This Row],[Technical Knowledge]:[Repeat job nahin aana]])/6</f>
        <v>0</v>
      </c>
      <c r="L916" s="79" t="str">
        <f>IFERROR(AVERAGEIFS(Table1[Final Score],Table1[Month],Table1[[#This Row],[Month]],Table1[Year],Table1[[#This Row],[Year]],Table1[Mechanic Name],Table1[[#This Row],[Mechanic Name]]),"")</f>
        <v/>
      </c>
    </row>
    <row r="917" spans="3:12" hidden="1" x14ac:dyDescent="0.35">
      <c r="C917" s="80"/>
      <c r="K917" s="81">
        <f>SUM(Table1[[#This Row],[Technical Knowledge]:[Repeat job nahin aana]])/6</f>
        <v>0</v>
      </c>
      <c r="L917" s="79" t="str">
        <f>IFERROR(AVERAGEIFS(Table1[Final Score],Table1[Month],Table1[[#This Row],[Month]],Table1[Year],Table1[[#This Row],[Year]],Table1[Mechanic Name],Table1[[#This Row],[Mechanic Name]]),"")</f>
        <v/>
      </c>
    </row>
    <row r="918" spans="3:12" hidden="1" x14ac:dyDescent="0.35">
      <c r="C918" s="80"/>
      <c r="K918" s="81">
        <f>SUM(Table1[[#This Row],[Technical Knowledge]:[Repeat job nahin aana]])/6</f>
        <v>0</v>
      </c>
      <c r="L918" s="79" t="str">
        <f>IFERROR(AVERAGEIFS(Table1[Final Score],Table1[Month],Table1[[#This Row],[Month]],Table1[Year],Table1[[#This Row],[Year]],Table1[Mechanic Name],Table1[[#This Row],[Mechanic Name]]),"")</f>
        <v/>
      </c>
    </row>
    <row r="919" spans="3:12" hidden="1" x14ac:dyDescent="0.35">
      <c r="C919" s="80"/>
      <c r="K919" s="81">
        <f>SUM(Table1[[#This Row],[Technical Knowledge]:[Repeat job nahin aana]])/6</f>
        <v>0</v>
      </c>
      <c r="L919" s="79" t="str">
        <f>IFERROR(AVERAGEIFS(Table1[Final Score],Table1[Month],Table1[[#This Row],[Month]],Table1[Year],Table1[[#This Row],[Year]],Table1[Mechanic Name],Table1[[#This Row],[Mechanic Name]]),"")</f>
        <v/>
      </c>
    </row>
    <row r="920" spans="3:12" hidden="1" x14ac:dyDescent="0.35">
      <c r="C920" s="80"/>
      <c r="K920" s="81">
        <f>SUM(Table1[[#This Row],[Technical Knowledge]:[Repeat job nahin aana]])/6</f>
        <v>0</v>
      </c>
      <c r="L920" s="79" t="str">
        <f>IFERROR(AVERAGEIFS(Table1[Final Score],Table1[Month],Table1[[#This Row],[Month]],Table1[Year],Table1[[#This Row],[Year]],Table1[Mechanic Name],Table1[[#This Row],[Mechanic Name]]),"")</f>
        <v/>
      </c>
    </row>
    <row r="921" spans="3:12" hidden="1" x14ac:dyDescent="0.35">
      <c r="C921" s="80"/>
      <c r="K921" s="81">
        <f>SUM(Table1[[#This Row],[Technical Knowledge]:[Repeat job nahin aana]])/6</f>
        <v>0</v>
      </c>
      <c r="L921" s="79" t="str">
        <f>IFERROR(AVERAGEIFS(Table1[Final Score],Table1[Month],Table1[[#This Row],[Month]],Table1[Year],Table1[[#This Row],[Year]],Table1[Mechanic Name],Table1[[#This Row],[Mechanic Name]]),"")</f>
        <v/>
      </c>
    </row>
    <row r="922" spans="3:12" hidden="1" x14ac:dyDescent="0.35">
      <c r="C922" s="80"/>
      <c r="K922" s="81">
        <f>SUM(Table1[[#This Row],[Technical Knowledge]:[Repeat job nahin aana]])/6</f>
        <v>0</v>
      </c>
      <c r="L922" s="79" t="str">
        <f>IFERROR(AVERAGEIFS(Table1[Final Score],Table1[Month],Table1[[#This Row],[Month]],Table1[Year],Table1[[#This Row],[Year]],Table1[Mechanic Name],Table1[[#This Row],[Mechanic Name]]),"")</f>
        <v/>
      </c>
    </row>
    <row r="923" spans="3:12" hidden="1" x14ac:dyDescent="0.35">
      <c r="C923" s="80"/>
      <c r="K923" s="81">
        <f>SUM(Table1[[#This Row],[Technical Knowledge]:[Repeat job nahin aana]])/6</f>
        <v>0</v>
      </c>
      <c r="L923" s="79" t="str">
        <f>IFERROR(AVERAGEIFS(Table1[Final Score],Table1[Month],Table1[[#This Row],[Month]],Table1[Year],Table1[[#This Row],[Year]],Table1[Mechanic Name],Table1[[#This Row],[Mechanic Name]]),"")</f>
        <v/>
      </c>
    </row>
    <row r="924" spans="3:12" hidden="1" x14ac:dyDescent="0.35">
      <c r="C924" s="80"/>
      <c r="K924" s="81">
        <f>SUM(Table1[[#This Row],[Technical Knowledge]:[Repeat job nahin aana]])/6</f>
        <v>0</v>
      </c>
      <c r="L924" s="79" t="str">
        <f>IFERROR(AVERAGEIFS(Table1[Final Score],Table1[Month],Table1[[#This Row],[Month]],Table1[Year],Table1[[#This Row],[Year]],Table1[Mechanic Name],Table1[[#This Row],[Mechanic Name]]),"")</f>
        <v/>
      </c>
    </row>
    <row r="925" spans="3:12" hidden="1" x14ac:dyDescent="0.35">
      <c r="C925" s="80"/>
      <c r="K925" s="81">
        <f>SUM(Table1[[#This Row],[Technical Knowledge]:[Repeat job nahin aana]])/6</f>
        <v>0</v>
      </c>
      <c r="L925" s="79" t="str">
        <f>IFERROR(AVERAGEIFS(Table1[Final Score],Table1[Month],Table1[[#This Row],[Month]],Table1[Year],Table1[[#This Row],[Year]],Table1[Mechanic Name],Table1[[#This Row],[Mechanic Name]]),"")</f>
        <v/>
      </c>
    </row>
    <row r="926" spans="3:12" hidden="1" x14ac:dyDescent="0.35">
      <c r="C926" s="80"/>
      <c r="K926" s="81">
        <f>SUM(Table1[[#This Row],[Technical Knowledge]:[Repeat job nahin aana]])/6</f>
        <v>0</v>
      </c>
      <c r="L926" s="79" t="str">
        <f>IFERROR(AVERAGEIFS(Table1[Final Score],Table1[Month],Table1[[#This Row],[Month]],Table1[Year],Table1[[#This Row],[Year]],Table1[Mechanic Name],Table1[[#This Row],[Mechanic Name]]),"")</f>
        <v/>
      </c>
    </row>
    <row r="927" spans="3:12" hidden="1" x14ac:dyDescent="0.35">
      <c r="C927" s="80"/>
      <c r="K927" s="81">
        <f>SUM(Table1[[#This Row],[Technical Knowledge]:[Repeat job nahin aana]])/6</f>
        <v>0</v>
      </c>
      <c r="L927" s="79" t="str">
        <f>IFERROR(AVERAGEIFS(Table1[Final Score],Table1[Month],Table1[[#This Row],[Month]],Table1[Year],Table1[[#This Row],[Year]],Table1[Mechanic Name],Table1[[#This Row],[Mechanic Name]]),"")</f>
        <v/>
      </c>
    </row>
    <row r="928" spans="3:12" hidden="1" x14ac:dyDescent="0.35">
      <c r="C928" s="80"/>
      <c r="K928" s="81">
        <f>SUM(Table1[[#This Row],[Technical Knowledge]:[Repeat job nahin aana]])/6</f>
        <v>0</v>
      </c>
      <c r="L928" s="79" t="str">
        <f>IFERROR(AVERAGEIFS(Table1[Final Score],Table1[Month],Table1[[#This Row],[Month]],Table1[Year],Table1[[#This Row],[Year]],Table1[Mechanic Name],Table1[[#This Row],[Mechanic Name]]),"")</f>
        <v/>
      </c>
    </row>
    <row r="929" spans="3:12" hidden="1" x14ac:dyDescent="0.35">
      <c r="C929" s="80"/>
      <c r="K929" s="81">
        <f>SUM(Table1[[#This Row],[Technical Knowledge]:[Repeat job nahin aana]])/6</f>
        <v>0</v>
      </c>
      <c r="L929" s="79" t="str">
        <f>IFERROR(AVERAGEIFS(Table1[Final Score],Table1[Month],Table1[[#This Row],[Month]],Table1[Year],Table1[[#This Row],[Year]],Table1[Mechanic Name],Table1[[#This Row],[Mechanic Name]]),"")</f>
        <v/>
      </c>
    </row>
    <row r="930" spans="3:12" hidden="1" x14ac:dyDescent="0.35">
      <c r="C930" s="80"/>
      <c r="K930" s="81">
        <f>SUM(Table1[[#This Row],[Technical Knowledge]:[Repeat job nahin aana]])/6</f>
        <v>0</v>
      </c>
      <c r="L930" s="79" t="str">
        <f>IFERROR(AVERAGEIFS(Table1[Final Score],Table1[Month],Table1[[#This Row],[Month]],Table1[Year],Table1[[#This Row],[Year]],Table1[Mechanic Name],Table1[[#This Row],[Mechanic Name]]),"")</f>
        <v/>
      </c>
    </row>
    <row r="931" spans="3:12" hidden="1" x14ac:dyDescent="0.35">
      <c r="C931" s="80"/>
      <c r="K931" s="81">
        <f>SUM(Table1[[#This Row],[Technical Knowledge]:[Repeat job nahin aana]])/6</f>
        <v>0</v>
      </c>
      <c r="L931" s="79" t="str">
        <f>IFERROR(AVERAGEIFS(Table1[Final Score],Table1[Month],Table1[[#This Row],[Month]],Table1[Year],Table1[[#This Row],[Year]],Table1[Mechanic Name],Table1[[#This Row],[Mechanic Name]]),"")</f>
        <v/>
      </c>
    </row>
    <row r="932" spans="3:12" hidden="1" x14ac:dyDescent="0.35">
      <c r="C932" s="80"/>
      <c r="K932" s="81">
        <f>SUM(Table1[[#This Row],[Technical Knowledge]:[Repeat job nahin aana]])/6</f>
        <v>0</v>
      </c>
      <c r="L932" s="79" t="str">
        <f>IFERROR(AVERAGEIFS(Table1[Final Score],Table1[Month],Table1[[#This Row],[Month]],Table1[Year],Table1[[#This Row],[Year]],Table1[Mechanic Name],Table1[[#This Row],[Mechanic Name]]),"")</f>
        <v/>
      </c>
    </row>
    <row r="933" spans="3:12" hidden="1" x14ac:dyDescent="0.35">
      <c r="C933" s="80"/>
      <c r="K933" s="81">
        <f>SUM(Table1[[#This Row],[Technical Knowledge]:[Repeat job nahin aana]])/6</f>
        <v>0</v>
      </c>
      <c r="L933" s="79" t="str">
        <f>IFERROR(AVERAGEIFS(Table1[Final Score],Table1[Month],Table1[[#This Row],[Month]],Table1[Year],Table1[[#This Row],[Year]],Table1[Mechanic Name],Table1[[#This Row],[Mechanic Name]]),"")</f>
        <v/>
      </c>
    </row>
    <row r="934" spans="3:12" hidden="1" x14ac:dyDescent="0.35">
      <c r="C934" s="80"/>
      <c r="K934" s="81">
        <f>SUM(Table1[[#This Row],[Technical Knowledge]:[Repeat job nahin aana]])/6</f>
        <v>0</v>
      </c>
      <c r="L934" s="79" t="str">
        <f>IFERROR(AVERAGEIFS(Table1[Final Score],Table1[Month],Table1[[#This Row],[Month]],Table1[Year],Table1[[#This Row],[Year]],Table1[Mechanic Name],Table1[[#This Row],[Mechanic Name]]),"")</f>
        <v/>
      </c>
    </row>
    <row r="935" spans="3:12" hidden="1" x14ac:dyDescent="0.35">
      <c r="C935" s="80"/>
      <c r="K935" s="81">
        <f>SUM(Table1[[#This Row],[Technical Knowledge]:[Repeat job nahin aana]])/6</f>
        <v>0</v>
      </c>
      <c r="L935" s="79" t="str">
        <f>IFERROR(AVERAGEIFS(Table1[Final Score],Table1[Month],Table1[[#This Row],[Month]],Table1[Year],Table1[[#This Row],[Year]],Table1[Mechanic Name],Table1[[#This Row],[Mechanic Name]]),"")</f>
        <v/>
      </c>
    </row>
    <row r="936" spans="3:12" hidden="1" x14ac:dyDescent="0.35">
      <c r="C936" s="80"/>
      <c r="K936" s="81">
        <f>SUM(Table1[[#This Row],[Technical Knowledge]:[Repeat job nahin aana]])/6</f>
        <v>0</v>
      </c>
      <c r="L936" s="79" t="str">
        <f>IFERROR(AVERAGEIFS(Table1[Final Score],Table1[Month],Table1[[#This Row],[Month]],Table1[Year],Table1[[#This Row],[Year]],Table1[Mechanic Name],Table1[[#This Row],[Mechanic Name]]),"")</f>
        <v/>
      </c>
    </row>
    <row r="937" spans="3:12" hidden="1" x14ac:dyDescent="0.35">
      <c r="C937" s="80"/>
      <c r="K937" s="81">
        <f>SUM(Table1[[#This Row],[Technical Knowledge]:[Repeat job nahin aana]])/6</f>
        <v>0</v>
      </c>
      <c r="L937" s="79" t="str">
        <f>IFERROR(AVERAGEIFS(Table1[Final Score],Table1[Month],Table1[[#This Row],[Month]],Table1[Year],Table1[[#This Row],[Year]],Table1[Mechanic Name],Table1[[#This Row],[Mechanic Name]]),"")</f>
        <v/>
      </c>
    </row>
    <row r="938" spans="3:12" hidden="1" x14ac:dyDescent="0.35">
      <c r="C938" s="80"/>
      <c r="K938" s="81">
        <f>SUM(Table1[[#This Row],[Technical Knowledge]:[Repeat job nahin aana]])/6</f>
        <v>0</v>
      </c>
      <c r="L938" s="79" t="str">
        <f>IFERROR(AVERAGEIFS(Table1[Final Score],Table1[Month],Table1[[#This Row],[Month]],Table1[Year],Table1[[#This Row],[Year]],Table1[Mechanic Name],Table1[[#This Row],[Mechanic Name]]),"")</f>
        <v/>
      </c>
    </row>
    <row r="939" spans="3:12" hidden="1" x14ac:dyDescent="0.35">
      <c r="C939" s="80"/>
      <c r="K939" s="81">
        <f>SUM(Table1[[#This Row],[Technical Knowledge]:[Repeat job nahin aana]])/6</f>
        <v>0</v>
      </c>
      <c r="L939" s="79" t="str">
        <f>IFERROR(AVERAGEIFS(Table1[Final Score],Table1[Month],Table1[[#This Row],[Month]],Table1[Year],Table1[[#This Row],[Year]],Table1[Mechanic Name],Table1[[#This Row],[Mechanic Name]]),"")</f>
        <v/>
      </c>
    </row>
    <row r="940" spans="3:12" hidden="1" x14ac:dyDescent="0.35">
      <c r="C940" s="80"/>
      <c r="K940" s="81">
        <f>SUM(Table1[[#This Row],[Technical Knowledge]:[Repeat job nahin aana]])/6</f>
        <v>0</v>
      </c>
      <c r="L940" s="79" t="str">
        <f>IFERROR(AVERAGEIFS(Table1[Final Score],Table1[Month],Table1[[#This Row],[Month]],Table1[Year],Table1[[#This Row],[Year]],Table1[Mechanic Name],Table1[[#This Row],[Mechanic Name]]),"")</f>
        <v/>
      </c>
    </row>
    <row r="941" spans="3:12" hidden="1" x14ac:dyDescent="0.35">
      <c r="C941" s="80"/>
      <c r="K941" s="81">
        <f>SUM(Table1[[#This Row],[Technical Knowledge]:[Repeat job nahin aana]])/6</f>
        <v>0</v>
      </c>
      <c r="L941" s="79" t="str">
        <f>IFERROR(AVERAGEIFS(Table1[Final Score],Table1[Month],Table1[[#This Row],[Month]],Table1[Year],Table1[[#This Row],[Year]],Table1[Mechanic Name],Table1[[#This Row],[Mechanic Name]]),"")</f>
        <v/>
      </c>
    </row>
    <row r="942" spans="3:12" hidden="1" x14ac:dyDescent="0.35">
      <c r="C942" s="80"/>
      <c r="K942" s="81">
        <f>SUM(Table1[[#This Row],[Technical Knowledge]:[Repeat job nahin aana]])/6</f>
        <v>0</v>
      </c>
      <c r="L942" s="79" t="str">
        <f>IFERROR(AVERAGEIFS(Table1[Final Score],Table1[Month],Table1[[#This Row],[Month]],Table1[Year],Table1[[#This Row],[Year]],Table1[Mechanic Name],Table1[[#This Row],[Mechanic Name]]),"")</f>
        <v/>
      </c>
    </row>
    <row r="943" spans="3:12" hidden="1" x14ac:dyDescent="0.35">
      <c r="C943" s="80"/>
      <c r="K943" s="81">
        <f>SUM(Table1[[#This Row],[Technical Knowledge]:[Repeat job nahin aana]])/6</f>
        <v>0</v>
      </c>
      <c r="L943" s="79" t="str">
        <f>IFERROR(AVERAGEIFS(Table1[Final Score],Table1[Month],Table1[[#This Row],[Month]],Table1[Year],Table1[[#This Row],[Year]],Table1[Mechanic Name],Table1[[#This Row],[Mechanic Name]]),"")</f>
        <v/>
      </c>
    </row>
    <row r="944" spans="3:12" hidden="1" x14ac:dyDescent="0.35">
      <c r="C944" s="80"/>
      <c r="K944" s="81">
        <f>SUM(Table1[[#This Row],[Technical Knowledge]:[Repeat job nahin aana]])/6</f>
        <v>0</v>
      </c>
      <c r="L944" s="79" t="str">
        <f>IFERROR(AVERAGEIFS(Table1[Final Score],Table1[Month],Table1[[#This Row],[Month]],Table1[Year],Table1[[#This Row],[Year]],Table1[Mechanic Name],Table1[[#This Row],[Mechanic Name]]),"")</f>
        <v/>
      </c>
    </row>
    <row r="945" spans="3:12" hidden="1" x14ac:dyDescent="0.35">
      <c r="C945" s="80"/>
      <c r="K945" s="81">
        <f>SUM(Table1[[#This Row],[Technical Knowledge]:[Repeat job nahin aana]])/6</f>
        <v>0</v>
      </c>
      <c r="L945" s="79" t="str">
        <f>IFERROR(AVERAGEIFS(Table1[Final Score],Table1[Month],Table1[[#This Row],[Month]],Table1[Year],Table1[[#This Row],[Year]],Table1[Mechanic Name],Table1[[#This Row],[Mechanic Name]]),"")</f>
        <v/>
      </c>
    </row>
    <row r="946" spans="3:12" hidden="1" x14ac:dyDescent="0.35">
      <c r="C946" s="80"/>
      <c r="K946" s="81">
        <f>SUM(Table1[[#This Row],[Technical Knowledge]:[Repeat job nahin aana]])/6</f>
        <v>0</v>
      </c>
      <c r="L946" s="79" t="str">
        <f>IFERROR(AVERAGEIFS(Table1[Final Score],Table1[Month],Table1[[#This Row],[Month]],Table1[Year],Table1[[#This Row],[Year]],Table1[Mechanic Name],Table1[[#This Row],[Mechanic Name]]),"")</f>
        <v/>
      </c>
    </row>
    <row r="947" spans="3:12" hidden="1" x14ac:dyDescent="0.35">
      <c r="C947" s="80"/>
      <c r="K947" s="81">
        <f>SUM(Table1[[#This Row],[Technical Knowledge]:[Repeat job nahin aana]])/6</f>
        <v>0</v>
      </c>
      <c r="L947" s="79" t="str">
        <f>IFERROR(AVERAGEIFS(Table1[Final Score],Table1[Month],Table1[[#This Row],[Month]],Table1[Year],Table1[[#This Row],[Year]],Table1[Mechanic Name],Table1[[#This Row],[Mechanic Name]]),"")</f>
        <v/>
      </c>
    </row>
    <row r="948" spans="3:12" hidden="1" x14ac:dyDescent="0.35">
      <c r="C948" s="80"/>
      <c r="K948" s="81">
        <f>SUM(Table1[[#This Row],[Technical Knowledge]:[Repeat job nahin aana]])/6</f>
        <v>0</v>
      </c>
      <c r="L948" s="79" t="str">
        <f>IFERROR(AVERAGEIFS(Table1[Final Score],Table1[Month],Table1[[#This Row],[Month]],Table1[Year],Table1[[#This Row],[Year]],Table1[Mechanic Name],Table1[[#This Row],[Mechanic Name]]),"")</f>
        <v/>
      </c>
    </row>
    <row r="949" spans="3:12" hidden="1" x14ac:dyDescent="0.35">
      <c r="C949" s="80"/>
      <c r="K949" s="81">
        <f>SUM(Table1[[#This Row],[Technical Knowledge]:[Repeat job nahin aana]])/6</f>
        <v>0</v>
      </c>
      <c r="L949" s="79" t="str">
        <f>IFERROR(AVERAGEIFS(Table1[Final Score],Table1[Month],Table1[[#This Row],[Month]],Table1[Year],Table1[[#This Row],[Year]],Table1[Mechanic Name],Table1[[#This Row],[Mechanic Name]]),"")</f>
        <v/>
      </c>
    </row>
    <row r="950" spans="3:12" hidden="1" x14ac:dyDescent="0.35">
      <c r="C950" s="80"/>
      <c r="K950" s="81">
        <f>SUM(Table1[[#This Row],[Technical Knowledge]:[Repeat job nahin aana]])/6</f>
        <v>0</v>
      </c>
      <c r="L950" s="79" t="str">
        <f>IFERROR(AVERAGEIFS(Table1[Final Score],Table1[Month],Table1[[#This Row],[Month]],Table1[Year],Table1[[#This Row],[Year]],Table1[Mechanic Name],Table1[[#This Row],[Mechanic Name]]),"")</f>
        <v/>
      </c>
    </row>
    <row r="951" spans="3:12" hidden="1" x14ac:dyDescent="0.35">
      <c r="C951" s="80"/>
      <c r="K951" s="81">
        <f>SUM(Table1[[#This Row],[Technical Knowledge]:[Repeat job nahin aana]])/6</f>
        <v>0</v>
      </c>
      <c r="L951" s="79" t="str">
        <f>IFERROR(AVERAGEIFS(Table1[Final Score],Table1[Month],Table1[[#This Row],[Month]],Table1[Year],Table1[[#This Row],[Year]],Table1[Mechanic Name],Table1[[#This Row],[Mechanic Name]]),"")</f>
        <v/>
      </c>
    </row>
    <row r="952" spans="3:12" hidden="1" x14ac:dyDescent="0.35">
      <c r="C952" s="80"/>
      <c r="K952" s="81">
        <f>SUM(Table1[[#This Row],[Technical Knowledge]:[Repeat job nahin aana]])/6</f>
        <v>0</v>
      </c>
      <c r="L952" s="79" t="str">
        <f>IFERROR(AVERAGEIFS(Table1[Final Score],Table1[Month],Table1[[#This Row],[Month]],Table1[Year],Table1[[#This Row],[Year]],Table1[Mechanic Name],Table1[[#This Row],[Mechanic Name]]),"")</f>
        <v/>
      </c>
    </row>
    <row r="953" spans="3:12" hidden="1" x14ac:dyDescent="0.35">
      <c r="C953" s="80"/>
      <c r="K953" s="81">
        <f>SUM(Table1[[#This Row],[Technical Knowledge]:[Repeat job nahin aana]])/6</f>
        <v>0</v>
      </c>
      <c r="L953" s="79" t="str">
        <f>IFERROR(AVERAGEIFS(Table1[Final Score],Table1[Month],Table1[[#This Row],[Month]],Table1[Year],Table1[[#This Row],[Year]],Table1[Mechanic Name],Table1[[#This Row],[Mechanic Name]]),"")</f>
        <v/>
      </c>
    </row>
    <row r="954" spans="3:12" hidden="1" x14ac:dyDescent="0.35">
      <c r="C954" s="80"/>
      <c r="K954" s="81">
        <f>SUM(Table1[[#This Row],[Technical Knowledge]:[Repeat job nahin aana]])/6</f>
        <v>0</v>
      </c>
      <c r="L954" s="79" t="str">
        <f>IFERROR(AVERAGEIFS(Table1[Final Score],Table1[Month],Table1[[#This Row],[Month]],Table1[Year],Table1[[#This Row],[Year]],Table1[Mechanic Name],Table1[[#This Row],[Mechanic Name]]),"")</f>
        <v/>
      </c>
    </row>
    <row r="955" spans="3:12" hidden="1" x14ac:dyDescent="0.35">
      <c r="C955" s="80"/>
      <c r="K955" s="81">
        <f>SUM(Table1[[#This Row],[Technical Knowledge]:[Repeat job nahin aana]])/6</f>
        <v>0</v>
      </c>
      <c r="L955" s="79" t="str">
        <f>IFERROR(AVERAGEIFS(Table1[Final Score],Table1[Month],Table1[[#This Row],[Month]],Table1[Year],Table1[[#This Row],[Year]],Table1[Mechanic Name],Table1[[#This Row],[Mechanic Name]]),"")</f>
        <v/>
      </c>
    </row>
    <row r="956" spans="3:12" hidden="1" x14ac:dyDescent="0.35">
      <c r="C956" s="80"/>
      <c r="K956" s="81">
        <f>SUM(Table1[[#This Row],[Technical Knowledge]:[Repeat job nahin aana]])/6</f>
        <v>0</v>
      </c>
      <c r="L956" s="79" t="str">
        <f>IFERROR(AVERAGEIFS(Table1[Final Score],Table1[Month],Table1[[#This Row],[Month]],Table1[Year],Table1[[#This Row],[Year]],Table1[Mechanic Name],Table1[[#This Row],[Mechanic Name]]),"")</f>
        <v/>
      </c>
    </row>
    <row r="957" spans="3:12" hidden="1" x14ac:dyDescent="0.35">
      <c r="C957" s="80"/>
      <c r="K957" s="81">
        <f>SUM(Table1[[#This Row],[Technical Knowledge]:[Repeat job nahin aana]])/6</f>
        <v>0</v>
      </c>
      <c r="L957" s="79" t="str">
        <f>IFERROR(AVERAGEIFS(Table1[Final Score],Table1[Month],Table1[[#This Row],[Month]],Table1[Year],Table1[[#This Row],[Year]],Table1[Mechanic Name],Table1[[#This Row],[Mechanic Name]]),"")</f>
        <v/>
      </c>
    </row>
    <row r="958" spans="3:12" hidden="1" x14ac:dyDescent="0.35">
      <c r="C958" s="80"/>
      <c r="K958" s="81">
        <f>SUM(Table1[[#This Row],[Technical Knowledge]:[Repeat job nahin aana]])/6</f>
        <v>0</v>
      </c>
      <c r="L958" s="79" t="str">
        <f>IFERROR(AVERAGEIFS(Table1[Final Score],Table1[Month],Table1[[#This Row],[Month]],Table1[Year],Table1[[#This Row],[Year]],Table1[Mechanic Name],Table1[[#This Row],[Mechanic Name]]),"")</f>
        <v/>
      </c>
    </row>
    <row r="959" spans="3:12" hidden="1" x14ac:dyDescent="0.35">
      <c r="C959" s="80"/>
      <c r="K959" s="81">
        <f>SUM(Table1[[#This Row],[Technical Knowledge]:[Repeat job nahin aana]])/6</f>
        <v>0</v>
      </c>
      <c r="L959" s="79" t="str">
        <f>IFERROR(AVERAGEIFS(Table1[Final Score],Table1[Month],Table1[[#This Row],[Month]],Table1[Year],Table1[[#This Row],[Year]],Table1[Mechanic Name],Table1[[#This Row],[Mechanic Name]]),"")</f>
        <v/>
      </c>
    </row>
    <row r="960" spans="3:12" hidden="1" x14ac:dyDescent="0.35">
      <c r="C960" s="80"/>
      <c r="K960" s="81">
        <f>SUM(Table1[[#This Row],[Technical Knowledge]:[Repeat job nahin aana]])/6</f>
        <v>0</v>
      </c>
      <c r="L960" s="79" t="str">
        <f>IFERROR(AVERAGEIFS(Table1[Final Score],Table1[Month],Table1[[#This Row],[Month]],Table1[Year],Table1[[#This Row],[Year]],Table1[Mechanic Name],Table1[[#This Row],[Mechanic Name]]),"")</f>
        <v/>
      </c>
    </row>
    <row r="961" spans="3:12" hidden="1" x14ac:dyDescent="0.35">
      <c r="C961" s="80"/>
      <c r="K961" s="81">
        <f>SUM(Table1[[#This Row],[Technical Knowledge]:[Repeat job nahin aana]])/6</f>
        <v>0</v>
      </c>
      <c r="L961" s="79" t="str">
        <f>IFERROR(AVERAGEIFS(Table1[Final Score],Table1[Month],Table1[[#This Row],[Month]],Table1[Year],Table1[[#This Row],[Year]],Table1[Mechanic Name],Table1[[#This Row],[Mechanic Name]]),"")</f>
        <v/>
      </c>
    </row>
    <row r="962" spans="3:12" hidden="1" x14ac:dyDescent="0.35">
      <c r="C962" s="80"/>
      <c r="K962" s="81">
        <f>SUM(Table1[[#This Row],[Technical Knowledge]:[Repeat job nahin aana]])/6</f>
        <v>0</v>
      </c>
      <c r="L962" s="79" t="str">
        <f>IFERROR(AVERAGEIFS(Table1[Final Score],Table1[Month],Table1[[#This Row],[Month]],Table1[Year],Table1[[#This Row],[Year]],Table1[Mechanic Name],Table1[[#This Row],[Mechanic Name]]),"")</f>
        <v/>
      </c>
    </row>
    <row r="963" spans="3:12" hidden="1" x14ac:dyDescent="0.35">
      <c r="C963" s="80"/>
      <c r="K963" s="81">
        <f>SUM(Table1[[#This Row],[Technical Knowledge]:[Repeat job nahin aana]])/6</f>
        <v>0</v>
      </c>
      <c r="L963" s="79" t="str">
        <f>IFERROR(AVERAGEIFS(Table1[Final Score],Table1[Month],Table1[[#This Row],[Month]],Table1[Year],Table1[[#This Row],[Year]],Table1[Mechanic Name],Table1[[#This Row],[Mechanic Name]]),"")</f>
        <v/>
      </c>
    </row>
    <row r="964" spans="3:12" hidden="1" x14ac:dyDescent="0.35">
      <c r="C964" s="80"/>
      <c r="K964" s="81">
        <f>SUM(Table1[[#This Row],[Technical Knowledge]:[Repeat job nahin aana]])/6</f>
        <v>0</v>
      </c>
      <c r="L964" s="79" t="str">
        <f>IFERROR(AVERAGEIFS(Table1[Final Score],Table1[Month],Table1[[#This Row],[Month]],Table1[Year],Table1[[#This Row],[Year]],Table1[Mechanic Name],Table1[[#This Row],[Mechanic Name]]),"")</f>
        <v/>
      </c>
    </row>
    <row r="965" spans="3:12" hidden="1" x14ac:dyDescent="0.35">
      <c r="C965" s="80"/>
      <c r="K965" s="81">
        <f>SUM(Table1[[#This Row],[Technical Knowledge]:[Repeat job nahin aana]])/6</f>
        <v>0</v>
      </c>
      <c r="L965" s="79" t="str">
        <f>IFERROR(AVERAGEIFS(Table1[Final Score],Table1[Month],Table1[[#This Row],[Month]],Table1[Year],Table1[[#This Row],[Year]],Table1[Mechanic Name],Table1[[#This Row],[Mechanic Name]]),"")</f>
        <v/>
      </c>
    </row>
    <row r="966" spans="3:12" hidden="1" x14ac:dyDescent="0.35">
      <c r="C966" s="80"/>
      <c r="K966" s="81">
        <f>SUM(Table1[[#This Row],[Technical Knowledge]:[Repeat job nahin aana]])/6</f>
        <v>0</v>
      </c>
      <c r="L966" s="79" t="str">
        <f>IFERROR(AVERAGEIFS(Table1[Final Score],Table1[Month],Table1[[#This Row],[Month]],Table1[Year],Table1[[#This Row],[Year]],Table1[Mechanic Name],Table1[[#This Row],[Mechanic Name]]),"")</f>
        <v/>
      </c>
    </row>
    <row r="967" spans="3:12" hidden="1" x14ac:dyDescent="0.35">
      <c r="C967" s="80"/>
      <c r="K967" s="81">
        <f>SUM(Table1[[#This Row],[Technical Knowledge]:[Repeat job nahin aana]])/6</f>
        <v>0</v>
      </c>
      <c r="L967" s="79" t="str">
        <f>IFERROR(AVERAGEIFS(Table1[Final Score],Table1[Month],Table1[[#This Row],[Month]],Table1[Year],Table1[[#This Row],[Year]],Table1[Mechanic Name],Table1[[#This Row],[Mechanic Name]]),"")</f>
        <v/>
      </c>
    </row>
    <row r="968" spans="3:12" hidden="1" x14ac:dyDescent="0.35">
      <c r="C968" s="80"/>
      <c r="K968" s="81">
        <f>SUM(Table1[[#This Row],[Technical Knowledge]:[Repeat job nahin aana]])/6</f>
        <v>0</v>
      </c>
      <c r="L968" s="79" t="str">
        <f>IFERROR(AVERAGEIFS(Table1[Final Score],Table1[Month],Table1[[#This Row],[Month]],Table1[Year],Table1[[#This Row],[Year]],Table1[Mechanic Name],Table1[[#This Row],[Mechanic Name]]),"")</f>
        <v/>
      </c>
    </row>
    <row r="969" spans="3:12" hidden="1" x14ac:dyDescent="0.35">
      <c r="C969" s="80"/>
      <c r="K969" s="81">
        <f>SUM(Table1[[#This Row],[Technical Knowledge]:[Repeat job nahin aana]])/6</f>
        <v>0</v>
      </c>
      <c r="L969" s="79" t="str">
        <f>IFERROR(AVERAGEIFS(Table1[Final Score],Table1[Month],Table1[[#This Row],[Month]],Table1[Year],Table1[[#This Row],[Year]],Table1[Mechanic Name],Table1[[#This Row],[Mechanic Name]]),"")</f>
        <v/>
      </c>
    </row>
    <row r="970" spans="3:12" hidden="1" x14ac:dyDescent="0.35">
      <c r="C970" s="80"/>
      <c r="K970" s="81">
        <f>SUM(Table1[[#This Row],[Technical Knowledge]:[Repeat job nahin aana]])/6</f>
        <v>0</v>
      </c>
      <c r="L970" s="79" t="str">
        <f>IFERROR(AVERAGEIFS(Table1[Final Score],Table1[Month],Table1[[#This Row],[Month]],Table1[Year],Table1[[#This Row],[Year]],Table1[Mechanic Name],Table1[[#This Row],[Mechanic Name]]),"")</f>
        <v/>
      </c>
    </row>
    <row r="971" spans="3:12" hidden="1" x14ac:dyDescent="0.35">
      <c r="C971" s="80"/>
      <c r="K971" s="81">
        <f>SUM(Table1[[#This Row],[Technical Knowledge]:[Repeat job nahin aana]])/6</f>
        <v>0</v>
      </c>
      <c r="L971" s="79" t="str">
        <f>IFERROR(AVERAGEIFS(Table1[Final Score],Table1[Month],Table1[[#This Row],[Month]],Table1[Year],Table1[[#This Row],[Year]],Table1[Mechanic Name],Table1[[#This Row],[Mechanic Name]]),"")</f>
        <v/>
      </c>
    </row>
    <row r="972" spans="3:12" hidden="1" x14ac:dyDescent="0.35">
      <c r="C972" s="80"/>
      <c r="K972" s="81">
        <f>SUM(Table1[[#This Row],[Technical Knowledge]:[Repeat job nahin aana]])/6</f>
        <v>0</v>
      </c>
      <c r="L972" s="79" t="str">
        <f>IFERROR(AVERAGEIFS(Table1[Final Score],Table1[Month],Table1[[#This Row],[Month]],Table1[Year],Table1[[#This Row],[Year]],Table1[Mechanic Name],Table1[[#This Row],[Mechanic Name]]),"")</f>
        <v/>
      </c>
    </row>
    <row r="973" spans="3:12" hidden="1" x14ac:dyDescent="0.35">
      <c r="C973" s="80"/>
      <c r="K973" s="81">
        <f>SUM(Table1[[#This Row],[Technical Knowledge]:[Repeat job nahin aana]])/6</f>
        <v>0</v>
      </c>
      <c r="L973" s="79" t="str">
        <f>IFERROR(AVERAGEIFS(Table1[Final Score],Table1[Month],Table1[[#This Row],[Month]],Table1[Year],Table1[[#This Row],[Year]],Table1[Mechanic Name],Table1[[#This Row],[Mechanic Name]]),"")</f>
        <v/>
      </c>
    </row>
    <row r="974" spans="3:12" hidden="1" x14ac:dyDescent="0.35">
      <c r="C974" s="80"/>
      <c r="K974" s="81">
        <f>SUM(Table1[[#This Row],[Technical Knowledge]:[Repeat job nahin aana]])/6</f>
        <v>0</v>
      </c>
      <c r="L974" s="79" t="str">
        <f>IFERROR(AVERAGEIFS(Table1[Final Score],Table1[Month],Table1[[#This Row],[Month]],Table1[Year],Table1[[#This Row],[Year]],Table1[Mechanic Name],Table1[[#This Row],[Mechanic Name]]),"")</f>
        <v/>
      </c>
    </row>
    <row r="975" spans="3:12" hidden="1" x14ac:dyDescent="0.35">
      <c r="C975" s="80"/>
      <c r="K975" s="81">
        <f>SUM(Table1[[#This Row],[Technical Knowledge]:[Repeat job nahin aana]])/6</f>
        <v>0</v>
      </c>
      <c r="L975" s="79" t="str">
        <f>IFERROR(AVERAGEIFS(Table1[Final Score],Table1[Month],Table1[[#This Row],[Month]],Table1[Year],Table1[[#This Row],[Year]],Table1[Mechanic Name],Table1[[#This Row],[Mechanic Name]]),"")</f>
        <v/>
      </c>
    </row>
    <row r="976" spans="3:12" hidden="1" x14ac:dyDescent="0.35">
      <c r="C976" s="80"/>
      <c r="K976" s="81">
        <f>SUM(Table1[[#This Row],[Technical Knowledge]:[Repeat job nahin aana]])/6</f>
        <v>0</v>
      </c>
      <c r="L976" s="79" t="str">
        <f>IFERROR(AVERAGEIFS(Table1[Final Score],Table1[Month],Table1[[#This Row],[Month]],Table1[Year],Table1[[#This Row],[Year]],Table1[Mechanic Name],Table1[[#This Row],[Mechanic Name]]),"")</f>
        <v/>
      </c>
    </row>
    <row r="977" spans="3:12" hidden="1" x14ac:dyDescent="0.35">
      <c r="C977" s="80"/>
      <c r="K977" s="81">
        <f>SUM(Table1[[#This Row],[Technical Knowledge]:[Repeat job nahin aana]])/6</f>
        <v>0</v>
      </c>
      <c r="L977" s="79" t="str">
        <f>IFERROR(AVERAGEIFS(Table1[Final Score],Table1[Month],Table1[[#This Row],[Month]],Table1[Year],Table1[[#This Row],[Year]],Table1[Mechanic Name],Table1[[#This Row],[Mechanic Name]]),"")</f>
        <v/>
      </c>
    </row>
    <row r="978" spans="3:12" hidden="1" x14ac:dyDescent="0.35">
      <c r="C978" s="80"/>
      <c r="K978" s="81">
        <f>SUM(Table1[[#This Row],[Technical Knowledge]:[Repeat job nahin aana]])/6</f>
        <v>0</v>
      </c>
      <c r="L978" s="79" t="str">
        <f>IFERROR(AVERAGEIFS(Table1[Final Score],Table1[Month],Table1[[#This Row],[Month]],Table1[Year],Table1[[#This Row],[Year]],Table1[Mechanic Name],Table1[[#This Row],[Mechanic Name]]),"")</f>
        <v/>
      </c>
    </row>
    <row r="979" spans="3:12" hidden="1" x14ac:dyDescent="0.35">
      <c r="C979" s="80"/>
      <c r="K979" s="81">
        <f>SUM(Table1[[#This Row],[Technical Knowledge]:[Repeat job nahin aana]])/6</f>
        <v>0</v>
      </c>
      <c r="L979" s="79" t="str">
        <f>IFERROR(AVERAGEIFS(Table1[Final Score],Table1[Month],Table1[[#This Row],[Month]],Table1[Year],Table1[[#This Row],[Year]],Table1[Mechanic Name],Table1[[#This Row],[Mechanic Name]]),"")</f>
        <v/>
      </c>
    </row>
    <row r="980" spans="3:12" hidden="1" x14ac:dyDescent="0.35">
      <c r="C980" s="80"/>
      <c r="K980" s="81">
        <f>SUM(Table1[[#This Row],[Technical Knowledge]:[Repeat job nahin aana]])/6</f>
        <v>0</v>
      </c>
      <c r="L980" s="79" t="str">
        <f>IFERROR(AVERAGEIFS(Table1[Final Score],Table1[Month],Table1[[#This Row],[Month]],Table1[Year],Table1[[#This Row],[Year]],Table1[Mechanic Name],Table1[[#This Row],[Mechanic Name]]),"")</f>
        <v/>
      </c>
    </row>
    <row r="981" spans="3:12" hidden="1" x14ac:dyDescent="0.35">
      <c r="C981" s="80"/>
      <c r="K981" s="81">
        <f>SUM(Table1[[#This Row],[Technical Knowledge]:[Repeat job nahin aana]])/6</f>
        <v>0</v>
      </c>
      <c r="L981" s="79" t="str">
        <f>IFERROR(AVERAGEIFS(Table1[Final Score],Table1[Month],Table1[[#This Row],[Month]],Table1[Year],Table1[[#This Row],[Year]],Table1[Mechanic Name],Table1[[#This Row],[Mechanic Name]]),"")</f>
        <v/>
      </c>
    </row>
    <row r="982" spans="3:12" hidden="1" x14ac:dyDescent="0.35">
      <c r="C982" s="80"/>
      <c r="K982" s="81">
        <f>SUM(Table1[[#This Row],[Technical Knowledge]:[Repeat job nahin aana]])/6</f>
        <v>0</v>
      </c>
      <c r="L982" s="79" t="str">
        <f>IFERROR(AVERAGEIFS(Table1[Final Score],Table1[Month],Table1[[#This Row],[Month]],Table1[Year],Table1[[#This Row],[Year]],Table1[Mechanic Name],Table1[[#This Row],[Mechanic Name]]),"")</f>
        <v/>
      </c>
    </row>
    <row r="983" spans="3:12" hidden="1" x14ac:dyDescent="0.35">
      <c r="C983" s="80"/>
      <c r="K983" s="81">
        <f>SUM(Table1[[#This Row],[Technical Knowledge]:[Repeat job nahin aana]])/6</f>
        <v>0</v>
      </c>
      <c r="L983" s="79" t="str">
        <f>IFERROR(AVERAGEIFS(Table1[Final Score],Table1[Month],Table1[[#This Row],[Month]],Table1[Year],Table1[[#This Row],[Year]],Table1[Mechanic Name],Table1[[#This Row],[Mechanic Name]]),"")</f>
        <v/>
      </c>
    </row>
    <row r="984" spans="3:12" hidden="1" x14ac:dyDescent="0.35">
      <c r="C984" s="80"/>
      <c r="K984" s="81">
        <f>SUM(Table1[[#This Row],[Technical Knowledge]:[Repeat job nahin aana]])/6</f>
        <v>0</v>
      </c>
      <c r="L984" s="79" t="str">
        <f>IFERROR(AVERAGEIFS(Table1[Final Score],Table1[Month],Table1[[#This Row],[Month]],Table1[Year],Table1[[#This Row],[Year]],Table1[Mechanic Name],Table1[[#This Row],[Mechanic Name]]),"")</f>
        <v/>
      </c>
    </row>
    <row r="985" spans="3:12" hidden="1" x14ac:dyDescent="0.35">
      <c r="C985" s="80"/>
      <c r="K985" s="81">
        <f>SUM(Table1[[#This Row],[Technical Knowledge]:[Repeat job nahin aana]])/6</f>
        <v>0</v>
      </c>
      <c r="L985" s="79" t="str">
        <f>IFERROR(AVERAGEIFS(Table1[Final Score],Table1[Month],Table1[[#This Row],[Month]],Table1[Year],Table1[[#This Row],[Year]],Table1[Mechanic Name],Table1[[#This Row],[Mechanic Name]]),"")</f>
        <v/>
      </c>
    </row>
    <row r="986" spans="3:12" hidden="1" x14ac:dyDescent="0.35">
      <c r="C986" s="80"/>
      <c r="K986" s="81">
        <f>SUM(Table1[[#This Row],[Technical Knowledge]:[Repeat job nahin aana]])/6</f>
        <v>0</v>
      </c>
      <c r="L986" s="79" t="str">
        <f>IFERROR(AVERAGEIFS(Table1[Final Score],Table1[Month],Table1[[#This Row],[Month]],Table1[Year],Table1[[#This Row],[Year]],Table1[Mechanic Name],Table1[[#This Row],[Mechanic Name]]),"")</f>
        <v/>
      </c>
    </row>
    <row r="987" spans="3:12" hidden="1" x14ac:dyDescent="0.35">
      <c r="C987" s="80"/>
      <c r="K987" s="81">
        <f>SUM(Table1[[#This Row],[Technical Knowledge]:[Repeat job nahin aana]])/6</f>
        <v>0</v>
      </c>
      <c r="L987" s="79" t="str">
        <f>IFERROR(AVERAGEIFS(Table1[Final Score],Table1[Month],Table1[[#This Row],[Month]],Table1[Year],Table1[[#This Row],[Year]],Table1[Mechanic Name],Table1[[#This Row],[Mechanic Name]]),"")</f>
        <v/>
      </c>
    </row>
    <row r="988" spans="3:12" hidden="1" x14ac:dyDescent="0.35">
      <c r="C988" s="80"/>
      <c r="K988" s="81">
        <f>SUM(Table1[[#This Row],[Technical Knowledge]:[Repeat job nahin aana]])/6</f>
        <v>0</v>
      </c>
      <c r="L988" s="79" t="str">
        <f>IFERROR(AVERAGEIFS(Table1[Final Score],Table1[Month],Table1[[#This Row],[Month]],Table1[Year],Table1[[#This Row],[Year]],Table1[Mechanic Name],Table1[[#This Row],[Mechanic Name]]),"")</f>
        <v/>
      </c>
    </row>
    <row r="989" spans="3:12" hidden="1" x14ac:dyDescent="0.35">
      <c r="C989" s="80"/>
      <c r="K989" s="81">
        <f>SUM(Table1[[#This Row],[Technical Knowledge]:[Repeat job nahin aana]])/6</f>
        <v>0</v>
      </c>
      <c r="L989" s="79" t="str">
        <f>IFERROR(AVERAGEIFS(Table1[Final Score],Table1[Month],Table1[[#This Row],[Month]],Table1[Year],Table1[[#This Row],[Year]],Table1[Mechanic Name],Table1[[#This Row],[Mechanic Name]]),"")</f>
        <v/>
      </c>
    </row>
    <row r="990" spans="3:12" hidden="1" x14ac:dyDescent="0.35">
      <c r="C990" s="80"/>
      <c r="K990" s="81">
        <f>SUM(Table1[[#This Row],[Technical Knowledge]:[Repeat job nahin aana]])/6</f>
        <v>0</v>
      </c>
      <c r="L990" s="79" t="str">
        <f>IFERROR(AVERAGEIFS(Table1[Final Score],Table1[Month],Table1[[#This Row],[Month]],Table1[Year],Table1[[#This Row],[Year]],Table1[Mechanic Name],Table1[[#This Row],[Mechanic Name]]),"")</f>
        <v/>
      </c>
    </row>
    <row r="991" spans="3:12" hidden="1" x14ac:dyDescent="0.35">
      <c r="C991" s="80"/>
      <c r="K991" s="81">
        <f>SUM(Table1[[#This Row],[Technical Knowledge]:[Repeat job nahin aana]])/6</f>
        <v>0</v>
      </c>
      <c r="L991" s="79" t="str">
        <f>IFERROR(AVERAGEIFS(Table1[Final Score],Table1[Month],Table1[[#This Row],[Month]],Table1[Year],Table1[[#This Row],[Year]],Table1[Mechanic Name],Table1[[#This Row],[Mechanic Name]]),"")</f>
        <v/>
      </c>
    </row>
    <row r="992" spans="3:12" hidden="1" x14ac:dyDescent="0.35">
      <c r="C992" s="80"/>
      <c r="K992" s="81">
        <f>SUM(Table1[[#This Row],[Technical Knowledge]:[Repeat job nahin aana]])/6</f>
        <v>0</v>
      </c>
      <c r="L992" s="79" t="str">
        <f>IFERROR(AVERAGEIFS(Table1[Final Score],Table1[Month],Table1[[#This Row],[Month]],Table1[Year],Table1[[#This Row],[Year]],Table1[Mechanic Name],Table1[[#This Row],[Mechanic Name]]),"")</f>
        <v/>
      </c>
    </row>
    <row r="993" spans="3:12" hidden="1" x14ac:dyDescent="0.35">
      <c r="C993" s="80"/>
      <c r="K993" s="81">
        <f>SUM(Table1[[#This Row],[Technical Knowledge]:[Repeat job nahin aana]])/6</f>
        <v>0</v>
      </c>
      <c r="L993" s="79" t="str">
        <f>IFERROR(AVERAGEIFS(Table1[Final Score],Table1[Month],Table1[[#This Row],[Month]],Table1[Year],Table1[[#This Row],[Year]],Table1[Mechanic Name],Table1[[#This Row],[Mechanic Name]]),"")</f>
        <v/>
      </c>
    </row>
    <row r="994" spans="3:12" hidden="1" x14ac:dyDescent="0.35">
      <c r="C994" s="80"/>
      <c r="K994" s="81">
        <f>SUM(Table1[[#This Row],[Technical Knowledge]:[Repeat job nahin aana]])/6</f>
        <v>0</v>
      </c>
      <c r="L994" s="79" t="str">
        <f>IFERROR(AVERAGEIFS(Table1[Final Score],Table1[Month],Table1[[#This Row],[Month]],Table1[Year],Table1[[#This Row],[Year]],Table1[Mechanic Name],Table1[[#This Row],[Mechanic Name]]),"")</f>
        <v/>
      </c>
    </row>
    <row r="995" spans="3:12" hidden="1" x14ac:dyDescent="0.35">
      <c r="C995" s="80"/>
      <c r="K995" s="81">
        <f>SUM(Table1[[#This Row],[Technical Knowledge]:[Repeat job nahin aana]])/6</f>
        <v>0</v>
      </c>
      <c r="L995" s="79" t="str">
        <f>IFERROR(AVERAGEIFS(Table1[Final Score],Table1[Month],Table1[[#This Row],[Month]],Table1[Year],Table1[[#This Row],[Year]],Table1[Mechanic Name],Table1[[#This Row],[Mechanic Name]]),"")</f>
        <v/>
      </c>
    </row>
    <row r="996" spans="3:12" hidden="1" x14ac:dyDescent="0.35">
      <c r="C996" s="80"/>
      <c r="K996" s="81">
        <f>SUM(Table1[[#This Row],[Technical Knowledge]:[Repeat job nahin aana]])/6</f>
        <v>0</v>
      </c>
      <c r="L996" s="79" t="str">
        <f>IFERROR(AVERAGEIFS(Table1[Final Score],Table1[Month],Table1[[#This Row],[Month]],Table1[Year],Table1[[#This Row],[Year]],Table1[Mechanic Name],Table1[[#This Row],[Mechanic Name]]),"")</f>
        <v/>
      </c>
    </row>
    <row r="997" spans="3:12" hidden="1" x14ac:dyDescent="0.35">
      <c r="C997" s="80"/>
      <c r="K997" s="81">
        <f>SUM(Table1[[#This Row],[Technical Knowledge]:[Repeat job nahin aana]])/6</f>
        <v>0</v>
      </c>
      <c r="L997" s="79" t="str">
        <f>IFERROR(AVERAGEIFS(Table1[Final Score],Table1[Month],Table1[[#This Row],[Month]],Table1[Year],Table1[[#This Row],[Year]],Table1[Mechanic Name],Table1[[#This Row],[Mechanic Name]]),"")</f>
        <v/>
      </c>
    </row>
    <row r="998" spans="3:12" hidden="1" x14ac:dyDescent="0.35">
      <c r="C998" s="80"/>
      <c r="K998" s="81">
        <f>SUM(Table1[[#This Row],[Technical Knowledge]:[Repeat job nahin aana]])/6</f>
        <v>0</v>
      </c>
      <c r="L998" s="79" t="str">
        <f>IFERROR(AVERAGEIFS(Table1[Final Score],Table1[Month],Table1[[#This Row],[Month]],Table1[Year],Table1[[#This Row],[Year]],Table1[Mechanic Name],Table1[[#This Row],[Mechanic Name]]),"")</f>
        <v/>
      </c>
    </row>
    <row r="999" spans="3:12" hidden="1" x14ac:dyDescent="0.35">
      <c r="C999" s="80"/>
      <c r="K999" s="81">
        <f>SUM(Table1[[#This Row],[Technical Knowledge]:[Repeat job nahin aana]])/6</f>
        <v>0</v>
      </c>
      <c r="L999" s="79" t="str">
        <f>IFERROR(AVERAGEIFS(Table1[Final Score],Table1[Month],Table1[[#This Row],[Month]],Table1[Year],Table1[[#This Row],[Year]],Table1[Mechanic Name],Table1[[#This Row],[Mechanic Name]]),"")</f>
        <v/>
      </c>
    </row>
    <row r="1000" spans="3:12" hidden="1" x14ac:dyDescent="0.35">
      <c r="C1000" s="80"/>
      <c r="K1000" s="81">
        <f>SUM(Table1[[#This Row],[Technical Knowledge]:[Repeat job nahin aana]])/6</f>
        <v>0</v>
      </c>
      <c r="L1000" s="79" t="str">
        <f>IFERROR(AVERAGEIFS(Table1[Final Score],Table1[Month],Table1[[#This Row],[Month]],Table1[Year],Table1[[#This Row],[Year]],Table1[Mechanic Name],Table1[[#This Row],[Mechanic Name]]),"")</f>
        <v/>
      </c>
    </row>
    <row r="1001" spans="3:12" hidden="1" x14ac:dyDescent="0.35">
      <c r="C1001" s="80"/>
      <c r="K1001" s="81">
        <f>SUM(Table1[[#This Row],[Technical Knowledge]:[Repeat job nahin aana]])/6</f>
        <v>0</v>
      </c>
      <c r="L1001" s="79" t="str">
        <f>IFERROR(AVERAGEIFS(Table1[Final Score],Table1[Month],Table1[[#This Row],[Month]],Table1[Year],Table1[[#This Row],[Year]],Table1[Mechanic Name],Table1[[#This Row],[Mechanic Name]]),"")</f>
        <v/>
      </c>
    </row>
    <row r="1002" spans="3:12" hidden="1" x14ac:dyDescent="0.35">
      <c r="C1002" s="80"/>
      <c r="K1002" s="81">
        <f>SUM(Table1[[#This Row],[Technical Knowledge]:[Repeat job nahin aana]])/6</f>
        <v>0</v>
      </c>
      <c r="L1002" s="79" t="str">
        <f>IFERROR(AVERAGEIFS(Table1[Final Score],Table1[Month],Table1[[#This Row],[Month]],Table1[Year],Table1[[#This Row],[Year]],Table1[Mechanic Name],Table1[[#This Row],[Mechanic Name]]),"")</f>
        <v/>
      </c>
    </row>
    <row r="1003" spans="3:12" hidden="1" x14ac:dyDescent="0.35">
      <c r="C1003" s="80"/>
      <c r="K1003" s="81">
        <f>SUM(Table1[[#This Row],[Technical Knowledge]:[Repeat job nahin aana]])/6</f>
        <v>0</v>
      </c>
      <c r="L1003" s="79" t="str">
        <f>IFERROR(AVERAGEIFS(Table1[Final Score],Table1[Month],Table1[[#This Row],[Month]],Table1[Year],Table1[[#This Row],[Year]],Table1[Mechanic Name],Table1[[#This Row],[Mechanic Name]]),"")</f>
        <v/>
      </c>
    </row>
    <row r="1004" spans="3:12" hidden="1" x14ac:dyDescent="0.35">
      <c r="C1004" s="80"/>
      <c r="K1004" s="81">
        <f>SUM(Table1[[#This Row],[Technical Knowledge]:[Repeat job nahin aana]])/6</f>
        <v>0</v>
      </c>
      <c r="L1004" s="79" t="str">
        <f>IFERROR(AVERAGEIFS(Table1[Final Score],Table1[Month],Table1[[#This Row],[Month]],Table1[Year],Table1[[#This Row],[Year]],Table1[Mechanic Name],Table1[[#This Row],[Mechanic Name]]),"")</f>
        <v/>
      </c>
    </row>
    <row r="1005" spans="3:12" hidden="1" x14ac:dyDescent="0.35">
      <c r="C1005" s="80"/>
      <c r="K1005" s="81">
        <f>SUM(Table1[[#This Row],[Technical Knowledge]:[Repeat job nahin aana]])/6</f>
        <v>0</v>
      </c>
      <c r="L1005" s="79" t="str">
        <f>IFERROR(AVERAGEIFS(Table1[Final Score],Table1[Month],Table1[[#This Row],[Month]],Table1[Year],Table1[[#This Row],[Year]],Table1[Mechanic Name],Table1[[#This Row],[Mechanic Name]]),"")</f>
        <v/>
      </c>
    </row>
    <row r="1006" spans="3:12" hidden="1" x14ac:dyDescent="0.35">
      <c r="C1006" s="80"/>
      <c r="K1006" s="81">
        <f>SUM(Table1[[#This Row],[Technical Knowledge]:[Repeat job nahin aana]])/6</f>
        <v>0</v>
      </c>
      <c r="L1006" s="79" t="str">
        <f>IFERROR(AVERAGEIFS(Table1[Final Score],Table1[Month],Table1[[#This Row],[Month]],Table1[Year],Table1[[#This Row],[Year]],Table1[Mechanic Name],Table1[[#This Row],[Mechanic Name]]),"")</f>
        <v/>
      </c>
    </row>
    <row r="1007" spans="3:12" hidden="1" x14ac:dyDescent="0.35">
      <c r="C1007" s="80"/>
      <c r="K1007" s="81">
        <f>SUM(Table1[[#This Row],[Technical Knowledge]:[Repeat job nahin aana]])/6</f>
        <v>0</v>
      </c>
      <c r="L1007" s="79" t="str">
        <f>IFERROR(AVERAGEIFS(Table1[Final Score],Table1[Month],Table1[[#This Row],[Month]],Table1[Year],Table1[[#This Row],[Year]],Table1[Mechanic Name],Table1[[#This Row],[Mechanic Name]]),"")</f>
        <v/>
      </c>
    </row>
    <row r="1008" spans="3:12" hidden="1" x14ac:dyDescent="0.35">
      <c r="C1008" s="80"/>
      <c r="K1008" s="81">
        <f>SUM(Table1[[#This Row],[Technical Knowledge]:[Repeat job nahin aana]])/6</f>
        <v>0</v>
      </c>
      <c r="L1008" s="79" t="str">
        <f>IFERROR(AVERAGEIFS(Table1[Final Score],Table1[Month],Table1[[#This Row],[Month]],Table1[Year],Table1[[#This Row],[Year]],Table1[Mechanic Name],Table1[[#This Row],[Mechanic Name]]),"")</f>
        <v/>
      </c>
    </row>
    <row r="1009" spans="3:12" hidden="1" x14ac:dyDescent="0.35">
      <c r="C1009" s="80"/>
      <c r="K1009" s="81">
        <f>SUM(Table1[[#This Row],[Technical Knowledge]:[Repeat job nahin aana]])/6</f>
        <v>0</v>
      </c>
      <c r="L1009" s="79" t="str">
        <f>IFERROR(AVERAGEIFS(Table1[Final Score],Table1[Month],Table1[[#This Row],[Month]],Table1[Year],Table1[[#This Row],[Year]],Table1[Mechanic Name],Table1[[#This Row],[Mechanic Name]]),"")</f>
        <v/>
      </c>
    </row>
    <row r="1010" spans="3:12" hidden="1" x14ac:dyDescent="0.35">
      <c r="C1010" s="80"/>
      <c r="K1010" s="81">
        <f>SUM(Table1[[#This Row],[Technical Knowledge]:[Repeat job nahin aana]])/6</f>
        <v>0</v>
      </c>
      <c r="L1010" s="79" t="str">
        <f>IFERROR(AVERAGEIFS(Table1[Final Score],Table1[Month],Table1[[#This Row],[Month]],Table1[Year],Table1[[#This Row],[Year]],Table1[Mechanic Name],Table1[[#This Row],[Mechanic Name]]),"")</f>
        <v/>
      </c>
    </row>
    <row r="1011" spans="3:12" hidden="1" x14ac:dyDescent="0.35">
      <c r="C1011" s="80"/>
      <c r="K1011" s="81">
        <f>SUM(Table1[[#This Row],[Technical Knowledge]:[Repeat job nahin aana]])/6</f>
        <v>0</v>
      </c>
      <c r="L1011" s="79" t="str">
        <f>IFERROR(AVERAGEIFS(Table1[Final Score],Table1[Month],Table1[[#This Row],[Month]],Table1[Year],Table1[[#This Row],[Year]],Table1[Mechanic Name],Table1[[#This Row],[Mechanic Name]]),"")</f>
        <v/>
      </c>
    </row>
    <row r="1012" spans="3:12" hidden="1" x14ac:dyDescent="0.35">
      <c r="C1012" s="80"/>
      <c r="K1012" s="81">
        <f>SUM(Table1[[#This Row],[Technical Knowledge]:[Repeat job nahin aana]])/6</f>
        <v>0</v>
      </c>
      <c r="L1012" s="79" t="str">
        <f>IFERROR(AVERAGEIFS(Table1[Final Score],Table1[Month],Table1[[#This Row],[Month]],Table1[Year],Table1[[#This Row],[Year]],Table1[Mechanic Name],Table1[[#This Row],[Mechanic Name]]),"")</f>
        <v/>
      </c>
    </row>
    <row r="1013" spans="3:12" hidden="1" x14ac:dyDescent="0.35">
      <c r="C1013" s="80"/>
      <c r="K1013" s="81">
        <f>SUM(Table1[[#This Row],[Technical Knowledge]:[Repeat job nahin aana]])/6</f>
        <v>0</v>
      </c>
      <c r="L1013" s="79" t="str">
        <f>IFERROR(AVERAGEIFS(Table1[Final Score],Table1[Month],Table1[[#This Row],[Month]],Table1[Year],Table1[[#This Row],[Year]],Table1[Mechanic Name],Table1[[#This Row],[Mechanic Name]]),"")</f>
        <v/>
      </c>
    </row>
    <row r="1014" spans="3:12" hidden="1" x14ac:dyDescent="0.35">
      <c r="C1014" s="80"/>
      <c r="K1014" s="81">
        <f>SUM(Table1[[#This Row],[Technical Knowledge]:[Repeat job nahin aana]])/6</f>
        <v>0</v>
      </c>
      <c r="L1014" s="79" t="str">
        <f>IFERROR(AVERAGEIFS(Table1[Final Score],Table1[Month],Table1[[#This Row],[Month]],Table1[Year],Table1[[#This Row],[Year]],Table1[Mechanic Name],Table1[[#This Row],[Mechanic Name]]),"")</f>
        <v/>
      </c>
    </row>
    <row r="1015" spans="3:12" hidden="1" x14ac:dyDescent="0.35">
      <c r="C1015" s="80"/>
      <c r="K1015" s="81">
        <f>SUM(Table1[[#This Row],[Technical Knowledge]:[Repeat job nahin aana]])/6</f>
        <v>0</v>
      </c>
      <c r="L1015" s="79" t="str">
        <f>IFERROR(AVERAGEIFS(Table1[Final Score],Table1[Month],Table1[[#This Row],[Month]],Table1[Year],Table1[[#This Row],[Year]],Table1[Mechanic Name],Table1[[#This Row],[Mechanic Name]]),"")</f>
        <v/>
      </c>
    </row>
    <row r="1016" spans="3:12" hidden="1" x14ac:dyDescent="0.35">
      <c r="C1016" s="80"/>
      <c r="K1016" s="81">
        <f>SUM(Table1[[#This Row],[Technical Knowledge]:[Repeat job nahin aana]])/6</f>
        <v>0</v>
      </c>
      <c r="L1016" s="79" t="str">
        <f>IFERROR(AVERAGEIFS(Table1[Final Score],Table1[Month],Table1[[#This Row],[Month]],Table1[Year],Table1[[#This Row],[Year]],Table1[Mechanic Name],Table1[[#This Row],[Mechanic Name]]),"")</f>
        <v/>
      </c>
    </row>
    <row r="1017" spans="3:12" hidden="1" x14ac:dyDescent="0.35">
      <c r="C1017" s="80"/>
      <c r="K1017" s="81">
        <f>SUM(Table1[[#This Row],[Technical Knowledge]:[Repeat job nahin aana]])/6</f>
        <v>0</v>
      </c>
      <c r="L1017" s="79" t="str">
        <f>IFERROR(AVERAGEIFS(Table1[Final Score],Table1[Month],Table1[[#This Row],[Month]],Table1[Year],Table1[[#This Row],[Year]],Table1[Mechanic Name],Table1[[#This Row],[Mechanic Name]]),"")</f>
        <v/>
      </c>
    </row>
    <row r="1018" spans="3:12" hidden="1" x14ac:dyDescent="0.35">
      <c r="C1018" s="80"/>
      <c r="K1018" s="81">
        <f>SUM(Table1[[#This Row],[Technical Knowledge]:[Repeat job nahin aana]])/6</f>
        <v>0</v>
      </c>
      <c r="L1018" s="79" t="str">
        <f>IFERROR(AVERAGEIFS(Table1[Final Score],Table1[Month],Table1[[#This Row],[Month]],Table1[Year],Table1[[#This Row],[Year]],Table1[Mechanic Name],Table1[[#This Row],[Mechanic Name]]),"")</f>
        <v/>
      </c>
    </row>
    <row r="1019" spans="3:12" hidden="1" x14ac:dyDescent="0.35">
      <c r="C1019" s="80"/>
      <c r="K1019" s="81">
        <f>SUM(Table1[[#This Row],[Technical Knowledge]:[Repeat job nahin aana]])/6</f>
        <v>0</v>
      </c>
      <c r="L1019" s="79" t="str">
        <f>IFERROR(AVERAGEIFS(Table1[Final Score],Table1[Month],Table1[[#This Row],[Month]],Table1[Year],Table1[[#This Row],[Year]],Table1[Mechanic Name],Table1[[#This Row],[Mechanic Name]]),"")</f>
        <v/>
      </c>
    </row>
    <row r="1020" spans="3:12" hidden="1" x14ac:dyDescent="0.35">
      <c r="C1020" s="80"/>
      <c r="K1020" s="81">
        <f>SUM(Table1[[#This Row],[Technical Knowledge]:[Repeat job nahin aana]])/6</f>
        <v>0</v>
      </c>
      <c r="L1020" s="79" t="str">
        <f>IFERROR(AVERAGEIFS(Table1[Final Score],Table1[Month],Table1[[#This Row],[Month]],Table1[Year],Table1[[#This Row],[Year]],Table1[Mechanic Name],Table1[[#This Row],[Mechanic Name]]),"")</f>
        <v/>
      </c>
    </row>
    <row r="1021" spans="3:12" hidden="1" x14ac:dyDescent="0.35">
      <c r="C1021" s="80"/>
      <c r="K1021" s="81">
        <f>SUM(Table1[[#This Row],[Technical Knowledge]:[Repeat job nahin aana]])/6</f>
        <v>0</v>
      </c>
      <c r="L1021" s="79" t="str">
        <f>IFERROR(AVERAGEIFS(Table1[Final Score],Table1[Month],Table1[[#This Row],[Month]],Table1[Year],Table1[[#This Row],[Year]],Table1[Mechanic Name],Table1[[#This Row],[Mechanic Name]]),"")</f>
        <v/>
      </c>
    </row>
    <row r="1022" spans="3:12" hidden="1" x14ac:dyDescent="0.35">
      <c r="C1022" s="80"/>
      <c r="K1022" s="81">
        <f>SUM(Table1[[#This Row],[Technical Knowledge]:[Repeat job nahin aana]])/6</f>
        <v>0</v>
      </c>
      <c r="L1022" s="79" t="str">
        <f>IFERROR(AVERAGEIFS(Table1[Final Score],Table1[Month],Table1[[#This Row],[Month]],Table1[Year],Table1[[#This Row],[Year]],Table1[Mechanic Name],Table1[[#This Row],[Mechanic Name]]),"")</f>
        <v/>
      </c>
    </row>
    <row r="1023" spans="3:12" hidden="1" x14ac:dyDescent="0.35">
      <c r="C1023" s="80"/>
      <c r="K1023" s="81">
        <f>SUM(Table1[[#This Row],[Technical Knowledge]:[Repeat job nahin aana]])/6</f>
        <v>0</v>
      </c>
      <c r="L1023" s="79" t="str">
        <f>IFERROR(AVERAGEIFS(Table1[Final Score],Table1[Month],Table1[[#This Row],[Month]],Table1[Year],Table1[[#This Row],[Year]],Table1[Mechanic Name],Table1[[#This Row],[Mechanic Name]]),"")</f>
        <v/>
      </c>
    </row>
    <row r="1024" spans="3:12" hidden="1" x14ac:dyDescent="0.35">
      <c r="C1024" s="80"/>
      <c r="K1024" s="81">
        <f>SUM(Table1[[#This Row],[Technical Knowledge]:[Repeat job nahin aana]])/6</f>
        <v>0</v>
      </c>
      <c r="L1024" s="79" t="str">
        <f>IFERROR(AVERAGEIFS(Table1[Final Score],Table1[Month],Table1[[#This Row],[Month]],Table1[Year],Table1[[#This Row],[Year]],Table1[Mechanic Name],Table1[[#This Row],[Mechanic Name]]),"")</f>
        <v/>
      </c>
    </row>
    <row r="1025" spans="3:12" hidden="1" x14ac:dyDescent="0.35">
      <c r="C1025" s="80"/>
      <c r="K1025" s="81">
        <f>SUM(Table1[[#This Row],[Technical Knowledge]:[Repeat job nahin aana]])/6</f>
        <v>0</v>
      </c>
      <c r="L1025" s="79" t="str">
        <f>IFERROR(AVERAGEIFS(Table1[Final Score],Table1[Month],Table1[[#This Row],[Month]],Table1[Year],Table1[[#This Row],[Year]],Table1[Mechanic Name],Table1[[#This Row],[Mechanic Name]]),"")</f>
        <v/>
      </c>
    </row>
    <row r="1026" spans="3:12" hidden="1" x14ac:dyDescent="0.35">
      <c r="C1026" s="80"/>
      <c r="K1026" s="81">
        <f>SUM(Table1[[#This Row],[Technical Knowledge]:[Repeat job nahin aana]])/6</f>
        <v>0</v>
      </c>
      <c r="L1026" s="79" t="str">
        <f>IFERROR(AVERAGEIFS(Table1[Final Score],Table1[Month],Table1[[#This Row],[Month]],Table1[Year],Table1[[#This Row],[Year]],Table1[Mechanic Name],Table1[[#This Row],[Mechanic Name]]),"")</f>
        <v/>
      </c>
    </row>
    <row r="1027" spans="3:12" hidden="1" x14ac:dyDescent="0.35">
      <c r="C1027" s="80"/>
      <c r="K1027" s="81">
        <f>SUM(Table1[[#This Row],[Technical Knowledge]:[Repeat job nahin aana]])/6</f>
        <v>0</v>
      </c>
      <c r="L1027" s="79" t="str">
        <f>IFERROR(AVERAGEIFS(Table1[Final Score],Table1[Month],Table1[[#This Row],[Month]],Table1[Year],Table1[[#This Row],[Year]],Table1[Mechanic Name],Table1[[#This Row],[Mechanic Name]]),"")</f>
        <v/>
      </c>
    </row>
    <row r="1028" spans="3:12" hidden="1" x14ac:dyDescent="0.35">
      <c r="C1028" s="80"/>
      <c r="K1028" s="81">
        <f>SUM(Table1[[#This Row],[Technical Knowledge]:[Repeat job nahin aana]])/6</f>
        <v>0</v>
      </c>
      <c r="L1028" s="79" t="str">
        <f>IFERROR(AVERAGEIFS(Table1[Final Score],Table1[Month],Table1[[#This Row],[Month]],Table1[Year],Table1[[#This Row],[Year]],Table1[Mechanic Name],Table1[[#This Row],[Mechanic Name]]),"")</f>
        <v/>
      </c>
    </row>
    <row r="1029" spans="3:12" hidden="1" x14ac:dyDescent="0.35">
      <c r="C1029" s="80"/>
      <c r="K1029" s="81">
        <f>SUM(Table1[[#This Row],[Technical Knowledge]:[Repeat job nahin aana]])/6</f>
        <v>0</v>
      </c>
      <c r="L1029" s="79" t="str">
        <f>IFERROR(AVERAGEIFS(Table1[Final Score],Table1[Month],Table1[[#This Row],[Month]],Table1[Year],Table1[[#This Row],[Year]],Table1[Mechanic Name],Table1[[#This Row],[Mechanic Name]]),"")</f>
        <v/>
      </c>
    </row>
    <row r="1030" spans="3:12" hidden="1" x14ac:dyDescent="0.35">
      <c r="C1030" s="80"/>
      <c r="K1030" s="81">
        <f>SUM(Table1[[#This Row],[Technical Knowledge]:[Repeat job nahin aana]])/6</f>
        <v>0</v>
      </c>
      <c r="L1030" s="79" t="str">
        <f>IFERROR(AVERAGEIFS(Table1[Final Score],Table1[Month],Table1[[#This Row],[Month]],Table1[Year],Table1[[#This Row],[Year]],Table1[Mechanic Name],Table1[[#This Row],[Mechanic Name]]),"")</f>
        <v/>
      </c>
    </row>
    <row r="1031" spans="3:12" hidden="1" x14ac:dyDescent="0.35">
      <c r="C1031" s="80"/>
      <c r="K1031" s="81">
        <f>SUM(Table1[[#This Row],[Technical Knowledge]:[Repeat job nahin aana]])/6</f>
        <v>0</v>
      </c>
      <c r="L1031" s="79" t="str">
        <f>IFERROR(AVERAGEIFS(Table1[Final Score],Table1[Month],Table1[[#This Row],[Month]],Table1[Year],Table1[[#This Row],[Year]],Table1[Mechanic Name],Table1[[#This Row],[Mechanic Name]]),"")</f>
        <v/>
      </c>
    </row>
    <row r="1032" spans="3:12" hidden="1" x14ac:dyDescent="0.35">
      <c r="C1032" s="80"/>
      <c r="K1032" s="81">
        <f>SUM(Table1[[#This Row],[Technical Knowledge]:[Repeat job nahin aana]])/6</f>
        <v>0</v>
      </c>
      <c r="L1032" s="79" t="str">
        <f>IFERROR(AVERAGEIFS(Table1[Final Score],Table1[Month],Table1[[#This Row],[Month]],Table1[Year],Table1[[#This Row],[Year]],Table1[Mechanic Name],Table1[[#This Row],[Mechanic Name]]),"")</f>
        <v/>
      </c>
    </row>
    <row r="1033" spans="3:12" hidden="1" x14ac:dyDescent="0.35">
      <c r="C1033" s="80"/>
      <c r="K1033" s="81">
        <f>SUM(Table1[[#This Row],[Technical Knowledge]:[Repeat job nahin aana]])/6</f>
        <v>0</v>
      </c>
      <c r="L1033" s="79" t="str">
        <f>IFERROR(AVERAGEIFS(Table1[Final Score],Table1[Month],Table1[[#This Row],[Month]],Table1[Year],Table1[[#This Row],[Year]],Table1[Mechanic Name],Table1[[#This Row],[Mechanic Name]]),"")</f>
        <v/>
      </c>
    </row>
    <row r="1034" spans="3:12" hidden="1" x14ac:dyDescent="0.35">
      <c r="C1034" s="80"/>
      <c r="K1034" s="81">
        <f>SUM(Table1[[#This Row],[Technical Knowledge]:[Repeat job nahin aana]])/6</f>
        <v>0</v>
      </c>
      <c r="L1034" s="79" t="str">
        <f>IFERROR(AVERAGEIFS(Table1[Final Score],Table1[Month],Table1[[#This Row],[Month]],Table1[Year],Table1[[#This Row],[Year]],Table1[Mechanic Name],Table1[[#This Row],[Mechanic Name]]),"")</f>
        <v/>
      </c>
    </row>
    <row r="1035" spans="3:12" hidden="1" x14ac:dyDescent="0.35">
      <c r="C1035" s="80"/>
      <c r="K1035" s="81">
        <f>SUM(Table1[[#This Row],[Technical Knowledge]:[Repeat job nahin aana]])/6</f>
        <v>0</v>
      </c>
      <c r="L1035" s="79" t="str">
        <f>IFERROR(AVERAGEIFS(Table1[Final Score],Table1[Month],Table1[[#This Row],[Month]],Table1[Year],Table1[[#This Row],[Year]],Table1[Mechanic Name],Table1[[#This Row],[Mechanic Name]]),"")</f>
        <v/>
      </c>
    </row>
    <row r="1036" spans="3:12" hidden="1" x14ac:dyDescent="0.35">
      <c r="C1036" s="80"/>
      <c r="K1036" s="81">
        <f>SUM(Table1[[#This Row],[Technical Knowledge]:[Repeat job nahin aana]])/6</f>
        <v>0</v>
      </c>
      <c r="L1036" s="79" t="str">
        <f>IFERROR(AVERAGEIFS(Table1[Final Score],Table1[Month],Table1[[#This Row],[Month]],Table1[Year],Table1[[#This Row],[Year]],Table1[Mechanic Name],Table1[[#This Row],[Mechanic Name]]),"")</f>
        <v/>
      </c>
    </row>
    <row r="1037" spans="3:12" hidden="1" x14ac:dyDescent="0.35">
      <c r="C1037" s="80"/>
      <c r="K1037" s="81">
        <f>SUM(Table1[[#This Row],[Technical Knowledge]:[Repeat job nahin aana]])/6</f>
        <v>0</v>
      </c>
      <c r="L1037" s="79" t="str">
        <f>IFERROR(AVERAGEIFS(Table1[Final Score],Table1[Month],Table1[[#This Row],[Month]],Table1[Year],Table1[[#This Row],[Year]],Table1[Mechanic Name],Table1[[#This Row],[Mechanic Name]]),"")</f>
        <v/>
      </c>
    </row>
    <row r="1038" spans="3:12" hidden="1" x14ac:dyDescent="0.35">
      <c r="C1038" s="80"/>
      <c r="K1038" s="81">
        <f>SUM(Table1[[#This Row],[Technical Knowledge]:[Repeat job nahin aana]])/6</f>
        <v>0</v>
      </c>
      <c r="L1038" s="79" t="str">
        <f>IFERROR(AVERAGEIFS(Table1[Final Score],Table1[Month],Table1[[#This Row],[Month]],Table1[Year],Table1[[#This Row],[Year]],Table1[Mechanic Name],Table1[[#This Row],[Mechanic Name]]),"")</f>
        <v/>
      </c>
    </row>
    <row r="1039" spans="3:12" hidden="1" x14ac:dyDescent="0.35">
      <c r="C1039" s="80"/>
      <c r="K1039" s="81">
        <f>SUM(Table1[[#This Row],[Technical Knowledge]:[Repeat job nahin aana]])/6</f>
        <v>0</v>
      </c>
      <c r="L1039" s="79" t="str">
        <f>IFERROR(AVERAGEIFS(Table1[Final Score],Table1[Month],Table1[[#This Row],[Month]],Table1[Year],Table1[[#This Row],[Year]],Table1[Mechanic Name],Table1[[#This Row],[Mechanic Name]]),"")</f>
        <v/>
      </c>
    </row>
    <row r="1040" spans="3:12" hidden="1" x14ac:dyDescent="0.35">
      <c r="C1040" s="80"/>
      <c r="K1040" s="81">
        <f>SUM(Table1[[#This Row],[Technical Knowledge]:[Repeat job nahin aana]])/6</f>
        <v>0</v>
      </c>
      <c r="L1040" s="79" t="str">
        <f>IFERROR(AVERAGEIFS(Table1[Final Score],Table1[Month],Table1[[#This Row],[Month]],Table1[Year],Table1[[#This Row],[Year]],Table1[Mechanic Name],Table1[[#This Row],[Mechanic Name]]),"")</f>
        <v/>
      </c>
    </row>
    <row r="1041" spans="3:12" hidden="1" x14ac:dyDescent="0.35">
      <c r="C1041" s="80"/>
      <c r="K1041" s="81">
        <f>SUM(Table1[[#This Row],[Technical Knowledge]:[Repeat job nahin aana]])/6</f>
        <v>0</v>
      </c>
      <c r="L1041" s="79" t="str">
        <f>IFERROR(AVERAGEIFS(Table1[Final Score],Table1[Month],Table1[[#This Row],[Month]],Table1[Year],Table1[[#This Row],[Year]],Table1[Mechanic Name],Table1[[#This Row],[Mechanic Name]]),"")</f>
        <v/>
      </c>
    </row>
    <row r="1042" spans="3:12" hidden="1" x14ac:dyDescent="0.35">
      <c r="C1042" s="80"/>
      <c r="K1042" s="81">
        <f>SUM(Table1[[#This Row],[Technical Knowledge]:[Repeat job nahin aana]])/6</f>
        <v>0</v>
      </c>
      <c r="L1042" s="79" t="str">
        <f>IFERROR(AVERAGEIFS(Table1[Final Score],Table1[Month],Table1[[#This Row],[Month]],Table1[Year],Table1[[#This Row],[Year]],Table1[Mechanic Name],Table1[[#This Row],[Mechanic Name]]),"")</f>
        <v/>
      </c>
    </row>
    <row r="1043" spans="3:12" hidden="1" x14ac:dyDescent="0.35">
      <c r="C1043" s="80"/>
      <c r="K1043" s="81">
        <f>SUM(Table1[[#This Row],[Technical Knowledge]:[Repeat job nahin aana]])/6</f>
        <v>0</v>
      </c>
      <c r="L1043" s="79" t="str">
        <f>IFERROR(AVERAGEIFS(Table1[Final Score],Table1[Month],Table1[[#This Row],[Month]],Table1[Year],Table1[[#This Row],[Year]],Table1[Mechanic Name],Table1[[#This Row],[Mechanic Name]]),"")</f>
        <v/>
      </c>
    </row>
    <row r="1044" spans="3:12" hidden="1" x14ac:dyDescent="0.35">
      <c r="C1044" s="80"/>
      <c r="K1044" s="81">
        <f>SUM(Table1[[#This Row],[Technical Knowledge]:[Repeat job nahin aana]])/6</f>
        <v>0</v>
      </c>
      <c r="L1044" s="79" t="str">
        <f>IFERROR(AVERAGEIFS(Table1[Final Score],Table1[Month],Table1[[#This Row],[Month]],Table1[Year],Table1[[#This Row],[Year]],Table1[Mechanic Name],Table1[[#This Row],[Mechanic Name]]),"")</f>
        <v/>
      </c>
    </row>
    <row r="1045" spans="3:12" hidden="1" x14ac:dyDescent="0.35">
      <c r="C1045" s="80"/>
      <c r="K1045" s="81">
        <f>SUM(Table1[[#This Row],[Technical Knowledge]:[Repeat job nahin aana]])/6</f>
        <v>0</v>
      </c>
      <c r="L1045" s="79" t="str">
        <f>IFERROR(AVERAGEIFS(Table1[Final Score],Table1[Month],Table1[[#This Row],[Month]],Table1[Year],Table1[[#This Row],[Year]],Table1[Mechanic Name],Table1[[#This Row],[Mechanic Name]]),"")</f>
        <v/>
      </c>
    </row>
    <row r="1046" spans="3:12" hidden="1" x14ac:dyDescent="0.35">
      <c r="C1046" s="80"/>
      <c r="K1046" s="81">
        <f>SUM(Table1[[#This Row],[Technical Knowledge]:[Repeat job nahin aana]])/6</f>
        <v>0</v>
      </c>
      <c r="L1046" s="79" t="str">
        <f>IFERROR(AVERAGEIFS(Table1[Final Score],Table1[Month],Table1[[#This Row],[Month]],Table1[Year],Table1[[#This Row],[Year]],Table1[Mechanic Name],Table1[[#This Row],[Mechanic Name]]),"")</f>
        <v/>
      </c>
    </row>
    <row r="1047" spans="3:12" hidden="1" x14ac:dyDescent="0.35">
      <c r="C1047" s="80"/>
      <c r="K1047" s="81">
        <f>SUM(Table1[[#This Row],[Technical Knowledge]:[Repeat job nahin aana]])/6</f>
        <v>0</v>
      </c>
      <c r="L1047" s="79" t="str">
        <f>IFERROR(AVERAGEIFS(Table1[Final Score],Table1[Month],Table1[[#This Row],[Month]],Table1[Year],Table1[[#This Row],[Year]],Table1[Mechanic Name],Table1[[#This Row],[Mechanic Name]]),"")</f>
        <v/>
      </c>
    </row>
    <row r="1048" spans="3:12" hidden="1" x14ac:dyDescent="0.35">
      <c r="C1048" s="80"/>
      <c r="K1048" s="81">
        <f>SUM(Table1[[#This Row],[Technical Knowledge]:[Repeat job nahin aana]])/6</f>
        <v>0</v>
      </c>
      <c r="L1048" s="79" t="str">
        <f>IFERROR(AVERAGEIFS(Table1[Final Score],Table1[Month],Table1[[#This Row],[Month]],Table1[Year],Table1[[#This Row],[Year]],Table1[Mechanic Name],Table1[[#This Row],[Mechanic Name]]),"")</f>
        <v/>
      </c>
    </row>
    <row r="1049" spans="3:12" hidden="1" x14ac:dyDescent="0.35">
      <c r="C1049" s="80"/>
      <c r="K1049" s="81">
        <f>SUM(Table1[[#This Row],[Technical Knowledge]:[Repeat job nahin aana]])/6</f>
        <v>0</v>
      </c>
      <c r="L1049" s="79" t="str">
        <f>IFERROR(AVERAGEIFS(Table1[Final Score],Table1[Month],Table1[[#This Row],[Month]],Table1[Year],Table1[[#This Row],[Year]],Table1[Mechanic Name],Table1[[#This Row],[Mechanic Name]]),"")</f>
        <v/>
      </c>
    </row>
    <row r="1050" spans="3:12" hidden="1" x14ac:dyDescent="0.35">
      <c r="C1050" s="80"/>
      <c r="K1050" s="81">
        <f>SUM(Table1[[#This Row],[Technical Knowledge]:[Repeat job nahin aana]])/6</f>
        <v>0</v>
      </c>
      <c r="L1050" s="79" t="str">
        <f>IFERROR(AVERAGEIFS(Table1[Final Score],Table1[Month],Table1[[#This Row],[Month]],Table1[Year],Table1[[#This Row],[Year]],Table1[Mechanic Name],Table1[[#This Row],[Mechanic Name]]),"")</f>
        <v/>
      </c>
    </row>
    <row r="1051" spans="3:12" hidden="1" x14ac:dyDescent="0.35">
      <c r="C1051" s="80"/>
      <c r="K1051" s="81">
        <f>SUM(Table1[[#This Row],[Technical Knowledge]:[Repeat job nahin aana]])/6</f>
        <v>0</v>
      </c>
      <c r="L1051" s="79" t="str">
        <f>IFERROR(AVERAGEIFS(Table1[Final Score],Table1[Month],Table1[[#This Row],[Month]],Table1[Year],Table1[[#This Row],[Year]],Table1[Mechanic Name],Table1[[#This Row],[Mechanic Name]]),"")</f>
        <v/>
      </c>
    </row>
    <row r="1052" spans="3:12" hidden="1" x14ac:dyDescent="0.35">
      <c r="C1052" s="80"/>
      <c r="K1052" s="81">
        <f>SUM(Table1[[#This Row],[Technical Knowledge]:[Repeat job nahin aana]])/6</f>
        <v>0</v>
      </c>
      <c r="L1052" s="79" t="str">
        <f>IFERROR(AVERAGEIFS(Table1[Final Score],Table1[Month],Table1[[#This Row],[Month]],Table1[Year],Table1[[#This Row],[Year]],Table1[Mechanic Name],Table1[[#This Row],[Mechanic Name]]),"")</f>
        <v/>
      </c>
    </row>
    <row r="1053" spans="3:12" hidden="1" x14ac:dyDescent="0.35">
      <c r="C1053" s="80"/>
      <c r="K1053" s="81">
        <f>SUM(Table1[[#This Row],[Technical Knowledge]:[Repeat job nahin aana]])/6</f>
        <v>0</v>
      </c>
      <c r="L1053" s="79" t="str">
        <f>IFERROR(AVERAGEIFS(Table1[Final Score],Table1[Month],Table1[[#This Row],[Month]],Table1[Year],Table1[[#This Row],[Year]],Table1[Mechanic Name],Table1[[#This Row],[Mechanic Name]]),"")</f>
        <v/>
      </c>
    </row>
    <row r="1054" spans="3:12" hidden="1" x14ac:dyDescent="0.35">
      <c r="C1054" s="80"/>
      <c r="K1054" s="81">
        <f>SUM(Table1[[#This Row],[Technical Knowledge]:[Repeat job nahin aana]])/6</f>
        <v>0</v>
      </c>
      <c r="L1054" s="79" t="str">
        <f>IFERROR(AVERAGEIFS(Table1[Final Score],Table1[Month],Table1[[#This Row],[Month]],Table1[Year],Table1[[#This Row],[Year]],Table1[Mechanic Name],Table1[[#This Row],[Mechanic Name]]),"")</f>
        <v/>
      </c>
    </row>
    <row r="1055" spans="3:12" hidden="1" x14ac:dyDescent="0.35">
      <c r="C1055" s="80"/>
      <c r="K1055" s="81">
        <f>SUM(Table1[[#This Row],[Technical Knowledge]:[Repeat job nahin aana]])/6</f>
        <v>0</v>
      </c>
      <c r="L1055" s="79" t="str">
        <f>IFERROR(AVERAGEIFS(Table1[Final Score],Table1[Month],Table1[[#This Row],[Month]],Table1[Year],Table1[[#This Row],[Year]],Table1[Mechanic Name],Table1[[#This Row],[Mechanic Name]]),"")</f>
        <v/>
      </c>
    </row>
    <row r="1056" spans="3:12" hidden="1" x14ac:dyDescent="0.35">
      <c r="C1056" s="80"/>
      <c r="K1056" s="81">
        <f>SUM(Table1[[#This Row],[Technical Knowledge]:[Repeat job nahin aana]])/6</f>
        <v>0</v>
      </c>
      <c r="L1056" s="79" t="str">
        <f>IFERROR(AVERAGEIFS(Table1[Final Score],Table1[Month],Table1[[#This Row],[Month]],Table1[Year],Table1[[#This Row],[Year]],Table1[Mechanic Name],Table1[[#This Row],[Mechanic Name]]),"")</f>
        <v/>
      </c>
    </row>
    <row r="1057" spans="3:12" hidden="1" x14ac:dyDescent="0.35">
      <c r="C1057" s="80"/>
      <c r="K1057" s="81">
        <f>SUM(Table1[[#This Row],[Technical Knowledge]:[Repeat job nahin aana]])/6</f>
        <v>0</v>
      </c>
      <c r="L1057" s="79" t="str">
        <f>IFERROR(AVERAGEIFS(Table1[Final Score],Table1[Month],Table1[[#This Row],[Month]],Table1[Year],Table1[[#This Row],[Year]],Table1[Mechanic Name],Table1[[#This Row],[Mechanic Name]]),"")</f>
        <v/>
      </c>
    </row>
    <row r="1058" spans="3:12" hidden="1" x14ac:dyDescent="0.35">
      <c r="C1058" s="80"/>
      <c r="K1058" s="81">
        <f>SUM(Table1[[#This Row],[Technical Knowledge]:[Repeat job nahin aana]])/6</f>
        <v>0</v>
      </c>
      <c r="L1058" s="79" t="str">
        <f>IFERROR(AVERAGEIFS(Table1[Final Score],Table1[Month],Table1[[#This Row],[Month]],Table1[Year],Table1[[#This Row],[Year]],Table1[Mechanic Name],Table1[[#This Row],[Mechanic Name]]),"")</f>
        <v/>
      </c>
    </row>
    <row r="1059" spans="3:12" hidden="1" x14ac:dyDescent="0.35">
      <c r="C1059" s="80"/>
      <c r="K1059" s="81">
        <f>SUM(Table1[[#This Row],[Technical Knowledge]:[Repeat job nahin aana]])/6</f>
        <v>0</v>
      </c>
      <c r="L1059" s="79" t="str">
        <f>IFERROR(AVERAGEIFS(Table1[Final Score],Table1[Month],Table1[[#This Row],[Month]],Table1[Year],Table1[[#This Row],[Year]],Table1[Mechanic Name],Table1[[#This Row],[Mechanic Name]]),"")</f>
        <v/>
      </c>
    </row>
    <row r="1060" spans="3:12" hidden="1" x14ac:dyDescent="0.35">
      <c r="C1060" s="80"/>
      <c r="K1060" s="81">
        <f>SUM(Table1[[#This Row],[Technical Knowledge]:[Repeat job nahin aana]])/6</f>
        <v>0</v>
      </c>
      <c r="L1060" s="79" t="str">
        <f>IFERROR(AVERAGEIFS(Table1[Final Score],Table1[Month],Table1[[#This Row],[Month]],Table1[Year],Table1[[#This Row],[Year]],Table1[Mechanic Name],Table1[[#This Row],[Mechanic Name]]),"")</f>
        <v/>
      </c>
    </row>
    <row r="1061" spans="3:12" hidden="1" x14ac:dyDescent="0.35">
      <c r="C1061" s="80"/>
      <c r="K1061" s="81">
        <f>SUM(Table1[[#This Row],[Technical Knowledge]:[Repeat job nahin aana]])/6</f>
        <v>0</v>
      </c>
      <c r="L1061" s="79" t="str">
        <f>IFERROR(AVERAGEIFS(Table1[Final Score],Table1[Month],Table1[[#This Row],[Month]],Table1[Year],Table1[[#This Row],[Year]],Table1[Mechanic Name],Table1[[#This Row],[Mechanic Name]]),"")</f>
        <v/>
      </c>
    </row>
    <row r="1062" spans="3:12" hidden="1" x14ac:dyDescent="0.35">
      <c r="C1062" s="80"/>
      <c r="K1062" s="81">
        <f>SUM(Table1[[#This Row],[Technical Knowledge]:[Repeat job nahin aana]])/6</f>
        <v>0</v>
      </c>
      <c r="L1062" s="79" t="str">
        <f>IFERROR(AVERAGEIFS(Table1[Final Score],Table1[Month],Table1[[#This Row],[Month]],Table1[Year],Table1[[#This Row],[Year]],Table1[Mechanic Name],Table1[[#This Row],[Mechanic Name]]),"")</f>
        <v/>
      </c>
    </row>
    <row r="1063" spans="3:12" hidden="1" x14ac:dyDescent="0.35">
      <c r="C1063" s="80"/>
      <c r="K1063" s="81">
        <f>SUM(Table1[[#This Row],[Technical Knowledge]:[Repeat job nahin aana]])/6</f>
        <v>0</v>
      </c>
      <c r="L1063" s="79" t="str">
        <f>IFERROR(AVERAGEIFS(Table1[Final Score],Table1[Month],Table1[[#This Row],[Month]],Table1[Year],Table1[[#This Row],[Year]],Table1[Mechanic Name],Table1[[#This Row],[Mechanic Name]]),"")</f>
        <v/>
      </c>
    </row>
    <row r="1064" spans="3:12" hidden="1" x14ac:dyDescent="0.35">
      <c r="C1064" s="80"/>
      <c r="K1064" s="81">
        <f>SUM(Table1[[#This Row],[Technical Knowledge]:[Repeat job nahin aana]])/6</f>
        <v>0</v>
      </c>
      <c r="L1064" s="79" t="str">
        <f>IFERROR(AVERAGEIFS(Table1[Final Score],Table1[Month],Table1[[#This Row],[Month]],Table1[Year],Table1[[#This Row],[Year]],Table1[Mechanic Name],Table1[[#This Row],[Mechanic Name]]),"")</f>
        <v/>
      </c>
    </row>
    <row r="1065" spans="3:12" hidden="1" x14ac:dyDescent="0.35">
      <c r="C1065" s="80"/>
      <c r="K1065" s="81">
        <f>SUM(Table1[[#This Row],[Technical Knowledge]:[Repeat job nahin aana]])/6</f>
        <v>0</v>
      </c>
      <c r="L1065" s="79" t="str">
        <f>IFERROR(AVERAGEIFS(Table1[Final Score],Table1[Month],Table1[[#This Row],[Month]],Table1[Year],Table1[[#This Row],[Year]],Table1[Mechanic Name],Table1[[#This Row],[Mechanic Name]]),"")</f>
        <v/>
      </c>
    </row>
    <row r="1066" spans="3:12" hidden="1" x14ac:dyDescent="0.35">
      <c r="C1066" s="80"/>
      <c r="K1066" s="81">
        <f>SUM(Table1[[#This Row],[Technical Knowledge]:[Repeat job nahin aana]])/6</f>
        <v>0</v>
      </c>
      <c r="L1066" s="79" t="str">
        <f>IFERROR(AVERAGEIFS(Table1[Final Score],Table1[Month],Table1[[#This Row],[Month]],Table1[Year],Table1[[#This Row],[Year]],Table1[Mechanic Name],Table1[[#This Row],[Mechanic Name]]),"")</f>
        <v/>
      </c>
    </row>
    <row r="1067" spans="3:12" hidden="1" x14ac:dyDescent="0.35">
      <c r="C1067" s="80"/>
      <c r="K1067" s="81">
        <f>SUM(Table1[[#This Row],[Technical Knowledge]:[Repeat job nahin aana]])/6</f>
        <v>0</v>
      </c>
      <c r="L1067" s="79" t="str">
        <f>IFERROR(AVERAGEIFS(Table1[Final Score],Table1[Month],Table1[[#This Row],[Month]],Table1[Year],Table1[[#This Row],[Year]],Table1[Mechanic Name],Table1[[#This Row],[Mechanic Name]]),"")</f>
        <v/>
      </c>
    </row>
    <row r="1068" spans="3:12" hidden="1" x14ac:dyDescent="0.35">
      <c r="C1068" s="80"/>
      <c r="K1068" s="81">
        <f>SUM(Table1[[#This Row],[Technical Knowledge]:[Repeat job nahin aana]])/6</f>
        <v>0</v>
      </c>
      <c r="L1068" s="79" t="str">
        <f>IFERROR(AVERAGEIFS(Table1[Final Score],Table1[Month],Table1[[#This Row],[Month]],Table1[Year],Table1[[#This Row],[Year]],Table1[Mechanic Name],Table1[[#This Row],[Mechanic Name]]),"")</f>
        <v/>
      </c>
    </row>
    <row r="1069" spans="3:12" hidden="1" x14ac:dyDescent="0.35">
      <c r="C1069" s="80"/>
      <c r="K1069" s="81">
        <f>SUM(Table1[[#This Row],[Technical Knowledge]:[Repeat job nahin aana]])/6</f>
        <v>0</v>
      </c>
      <c r="L1069" s="79" t="str">
        <f>IFERROR(AVERAGEIFS(Table1[Final Score],Table1[Month],Table1[[#This Row],[Month]],Table1[Year],Table1[[#This Row],[Year]],Table1[Mechanic Name],Table1[[#This Row],[Mechanic Name]]),"")</f>
        <v/>
      </c>
    </row>
    <row r="1070" spans="3:12" hidden="1" x14ac:dyDescent="0.35">
      <c r="C1070" s="80"/>
      <c r="K1070" s="81">
        <f>SUM(Table1[[#This Row],[Technical Knowledge]:[Repeat job nahin aana]])/6</f>
        <v>0</v>
      </c>
      <c r="L1070" s="79" t="str">
        <f>IFERROR(AVERAGEIFS(Table1[Final Score],Table1[Month],Table1[[#This Row],[Month]],Table1[Year],Table1[[#This Row],[Year]],Table1[Mechanic Name],Table1[[#This Row],[Mechanic Name]]),"")</f>
        <v/>
      </c>
    </row>
    <row r="1071" spans="3:12" hidden="1" x14ac:dyDescent="0.35">
      <c r="C1071" s="80"/>
      <c r="K1071" s="81">
        <f>SUM(Table1[[#This Row],[Technical Knowledge]:[Repeat job nahin aana]])/6</f>
        <v>0</v>
      </c>
      <c r="L1071" s="79" t="str">
        <f>IFERROR(AVERAGEIFS(Table1[Final Score],Table1[Month],Table1[[#This Row],[Month]],Table1[Year],Table1[[#This Row],[Year]],Table1[Mechanic Name],Table1[[#This Row],[Mechanic Name]]),"")</f>
        <v/>
      </c>
    </row>
    <row r="1072" spans="3:12" hidden="1" x14ac:dyDescent="0.35">
      <c r="C1072" s="80"/>
      <c r="K1072" s="81">
        <f>SUM(Table1[[#This Row],[Technical Knowledge]:[Repeat job nahin aana]])/6</f>
        <v>0</v>
      </c>
      <c r="L1072" s="79" t="str">
        <f>IFERROR(AVERAGEIFS(Table1[Final Score],Table1[Month],Table1[[#This Row],[Month]],Table1[Year],Table1[[#This Row],[Year]],Table1[Mechanic Name],Table1[[#This Row],[Mechanic Name]]),"")</f>
        <v/>
      </c>
    </row>
    <row r="1073" spans="3:12" hidden="1" x14ac:dyDescent="0.35">
      <c r="C1073" s="80"/>
      <c r="K1073" s="81">
        <f>SUM(Table1[[#This Row],[Technical Knowledge]:[Repeat job nahin aana]])/6</f>
        <v>0</v>
      </c>
      <c r="L1073" s="79" t="str">
        <f>IFERROR(AVERAGEIFS(Table1[Final Score],Table1[Month],Table1[[#This Row],[Month]],Table1[Year],Table1[[#This Row],[Year]],Table1[Mechanic Name],Table1[[#This Row],[Mechanic Name]]),"")</f>
        <v/>
      </c>
    </row>
    <row r="1074" spans="3:12" hidden="1" x14ac:dyDescent="0.35">
      <c r="C1074" s="80"/>
      <c r="K1074" s="81">
        <f>SUM(Table1[[#This Row],[Technical Knowledge]:[Repeat job nahin aana]])/6</f>
        <v>0</v>
      </c>
      <c r="L1074" s="79" t="str">
        <f>IFERROR(AVERAGEIFS(Table1[Final Score],Table1[Month],Table1[[#This Row],[Month]],Table1[Year],Table1[[#This Row],[Year]],Table1[Mechanic Name],Table1[[#This Row],[Mechanic Name]]),"")</f>
        <v/>
      </c>
    </row>
    <row r="1075" spans="3:12" hidden="1" x14ac:dyDescent="0.35">
      <c r="C1075" s="80"/>
      <c r="K1075" s="81">
        <f>SUM(Table1[[#This Row],[Technical Knowledge]:[Repeat job nahin aana]])/6</f>
        <v>0</v>
      </c>
      <c r="L1075" s="79" t="str">
        <f>IFERROR(AVERAGEIFS(Table1[Final Score],Table1[Month],Table1[[#This Row],[Month]],Table1[Year],Table1[[#This Row],[Year]],Table1[Mechanic Name],Table1[[#This Row],[Mechanic Name]]),"")</f>
        <v/>
      </c>
    </row>
    <row r="1076" spans="3:12" hidden="1" x14ac:dyDescent="0.35">
      <c r="C1076" s="80"/>
      <c r="K1076" s="81">
        <f>SUM(Table1[[#This Row],[Technical Knowledge]:[Repeat job nahin aana]])/6</f>
        <v>0</v>
      </c>
      <c r="L1076" s="79" t="str">
        <f>IFERROR(AVERAGEIFS(Table1[Final Score],Table1[Month],Table1[[#This Row],[Month]],Table1[Year],Table1[[#This Row],[Year]],Table1[Mechanic Name],Table1[[#This Row],[Mechanic Name]]),"")</f>
        <v/>
      </c>
    </row>
    <row r="1077" spans="3:12" hidden="1" x14ac:dyDescent="0.35">
      <c r="C1077" s="80"/>
      <c r="K1077" s="81">
        <f>SUM(Table1[[#This Row],[Technical Knowledge]:[Repeat job nahin aana]])/6</f>
        <v>0</v>
      </c>
      <c r="L1077" s="79" t="str">
        <f>IFERROR(AVERAGEIFS(Table1[Final Score],Table1[Month],Table1[[#This Row],[Month]],Table1[Year],Table1[[#This Row],[Year]],Table1[Mechanic Name],Table1[[#This Row],[Mechanic Name]]),"")</f>
        <v/>
      </c>
    </row>
    <row r="1078" spans="3:12" hidden="1" x14ac:dyDescent="0.35">
      <c r="C1078" s="80"/>
      <c r="K1078" s="81">
        <f>SUM(Table1[[#This Row],[Technical Knowledge]:[Repeat job nahin aana]])/6</f>
        <v>0</v>
      </c>
      <c r="L1078" s="79" t="str">
        <f>IFERROR(AVERAGEIFS(Table1[Final Score],Table1[Month],Table1[[#This Row],[Month]],Table1[Year],Table1[[#This Row],[Year]],Table1[Mechanic Name],Table1[[#This Row],[Mechanic Name]]),"")</f>
        <v/>
      </c>
    </row>
    <row r="1079" spans="3:12" hidden="1" x14ac:dyDescent="0.35">
      <c r="C1079" s="80"/>
      <c r="K1079" s="81">
        <f>SUM(Table1[[#This Row],[Technical Knowledge]:[Repeat job nahin aana]])/6</f>
        <v>0</v>
      </c>
      <c r="L1079" s="79" t="str">
        <f>IFERROR(AVERAGEIFS(Table1[Final Score],Table1[Month],Table1[[#This Row],[Month]],Table1[Year],Table1[[#This Row],[Year]],Table1[Mechanic Name],Table1[[#This Row],[Mechanic Name]]),"")</f>
        <v/>
      </c>
    </row>
    <row r="1080" spans="3:12" hidden="1" x14ac:dyDescent="0.35">
      <c r="C1080" s="80"/>
      <c r="K1080" s="81">
        <f>SUM(Table1[[#This Row],[Technical Knowledge]:[Repeat job nahin aana]])/6</f>
        <v>0</v>
      </c>
      <c r="L1080" s="79" t="str">
        <f>IFERROR(AVERAGEIFS(Table1[Final Score],Table1[Month],Table1[[#This Row],[Month]],Table1[Year],Table1[[#This Row],[Year]],Table1[Mechanic Name],Table1[[#This Row],[Mechanic Name]]),"")</f>
        <v/>
      </c>
    </row>
    <row r="1081" spans="3:12" hidden="1" x14ac:dyDescent="0.35">
      <c r="C1081" s="80"/>
      <c r="K1081" s="81">
        <f>SUM(Table1[[#This Row],[Technical Knowledge]:[Repeat job nahin aana]])/6</f>
        <v>0</v>
      </c>
      <c r="L1081" s="79" t="str">
        <f>IFERROR(AVERAGEIFS(Table1[Final Score],Table1[Month],Table1[[#This Row],[Month]],Table1[Year],Table1[[#This Row],[Year]],Table1[Mechanic Name],Table1[[#This Row],[Mechanic Name]]),"")</f>
        <v/>
      </c>
    </row>
    <row r="1082" spans="3:12" hidden="1" x14ac:dyDescent="0.35">
      <c r="C1082" s="80"/>
      <c r="K1082" s="81">
        <f>SUM(Table1[[#This Row],[Technical Knowledge]:[Repeat job nahin aana]])/6</f>
        <v>0</v>
      </c>
      <c r="L1082" s="79" t="str">
        <f>IFERROR(AVERAGEIFS(Table1[Final Score],Table1[Month],Table1[[#This Row],[Month]],Table1[Year],Table1[[#This Row],[Year]],Table1[Mechanic Name],Table1[[#This Row],[Mechanic Name]]),"")</f>
        <v/>
      </c>
    </row>
    <row r="1083" spans="3:12" hidden="1" x14ac:dyDescent="0.35">
      <c r="C1083" s="80"/>
      <c r="K1083" s="81">
        <f>SUM(Table1[[#This Row],[Technical Knowledge]:[Repeat job nahin aana]])/6</f>
        <v>0</v>
      </c>
      <c r="L1083" s="79" t="str">
        <f>IFERROR(AVERAGEIFS(Table1[Final Score],Table1[Month],Table1[[#This Row],[Month]],Table1[Year],Table1[[#This Row],[Year]],Table1[Mechanic Name],Table1[[#This Row],[Mechanic Name]]),"")</f>
        <v/>
      </c>
    </row>
    <row r="1084" spans="3:12" hidden="1" x14ac:dyDescent="0.35">
      <c r="C1084" s="80"/>
      <c r="K1084" s="81">
        <f>SUM(Table1[[#This Row],[Technical Knowledge]:[Repeat job nahin aana]])/6</f>
        <v>0</v>
      </c>
      <c r="L1084" s="79" t="str">
        <f>IFERROR(AVERAGEIFS(Table1[Final Score],Table1[Month],Table1[[#This Row],[Month]],Table1[Year],Table1[[#This Row],[Year]],Table1[Mechanic Name],Table1[[#This Row],[Mechanic Name]]),"")</f>
        <v/>
      </c>
    </row>
    <row r="1085" spans="3:12" hidden="1" x14ac:dyDescent="0.35">
      <c r="C1085" s="80"/>
      <c r="K1085" s="81">
        <f>SUM(Table1[[#This Row],[Technical Knowledge]:[Repeat job nahin aana]])/6</f>
        <v>0</v>
      </c>
      <c r="L1085" s="79" t="str">
        <f>IFERROR(AVERAGEIFS(Table1[Final Score],Table1[Month],Table1[[#This Row],[Month]],Table1[Year],Table1[[#This Row],[Year]],Table1[Mechanic Name],Table1[[#This Row],[Mechanic Name]]),"")</f>
        <v/>
      </c>
    </row>
    <row r="1086" spans="3:12" hidden="1" x14ac:dyDescent="0.35">
      <c r="C1086" s="80"/>
      <c r="K1086" s="81">
        <f>SUM(Table1[[#This Row],[Technical Knowledge]:[Repeat job nahin aana]])/6</f>
        <v>0</v>
      </c>
      <c r="L1086" s="79" t="str">
        <f>IFERROR(AVERAGEIFS(Table1[Final Score],Table1[Month],Table1[[#This Row],[Month]],Table1[Year],Table1[[#This Row],[Year]],Table1[Mechanic Name],Table1[[#This Row],[Mechanic Name]]),"")</f>
        <v/>
      </c>
    </row>
    <row r="1087" spans="3:12" hidden="1" x14ac:dyDescent="0.35">
      <c r="C1087" s="80"/>
      <c r="K1087" s="81">
        <f>SUM(Table1[[#This Row],[Technical Knowledge]:[Repeat job nahin aana]])/6</f>
        <v>0</v>
      </c>
      <c r="L1087" s="79" t="str">
        <f>IFERROR(AVERAGEIFS(Table1[Final Score],Table1[Month],Table1[[#This Row],[Month]],Table1[Year],Table1[[#This Row],[Year]],Table1[Mechanic Name],Table1[[#This Row],[Mechanic Name]]),"")</f>
        <v/>
      </c>
    </row>
    <row r="1088" spans="3:12" hidden="1" x14ac:dyDescent="0.35">
      <c r="C1088" s="80"/>
      <c r="K1088" s="81">
        <f>SUM(Table1[[#This Row],[Technical Knowledge]:[Repeat job nahin aana]])/6</f>
        <v>0</v>
      </c>
      <c r="L1088" s="79" t="str">
        <f>IFERROR(AVERAGEIFS(Table1[Final Score],Table1[Month],Table1[[#This Row],[Month]],Table1[Year],Table1[[#This Row],[Year]],Table1[Mechanic Name],Table1[[#This Row],[Mechanic Name]]),"")</f>
        <v/>
      </c>
    </row>
    <row r="1089" spans="3:12" hidden="1" x14ac:dyDescent="0.35">
      <c r="C1089" s="80"/>
      <c r="K1089" s="81">
        <f>SUM(Table1[[#This Row],[Technical Knowledge]:[Repeat job nahin aana]])/6</f>
        <v>0</v>
      </c>
      <c r="L1089" s="79" t="str">
        <f>IFERROR(AVERAGEIFS(Table1[Final Score],Table1[Month],Table1[[#This Row],[Month]],Table1[Year],Table1[[#This Row],[Year]],Table1[Mechanic Name],Table1[[#This Row],[Mechanic Name]]),"")</f>
        <v/>
      </c>
    </row>
    <row r="1090" spans="3:12" hidden="1" x14ac:dyDescent="0.35">
      <c r="C1090" s="80"/>
      <c r="K1090" s="81">
        <f>SUM(Table1[[#This Row],[Technical Knowledge]:[Repeat job nahin aana]])/6</f>
        <v>0</v>
      </c>
      <c r="L1090" s="79" t="str">
        <f>IFERROR(AVERAGEIFS(Table1[Final Score],Table1[Month],Table1[[#This Row],[Month]],Table1[Year],Table1[[#This Row],[Year]],Table1[Mechanic Name],Table1[[#This Row],[Mechanic Name]]),"")</f>
        <v/>
      </c>
    </row>
    <row r="1091" spans="3:12" hidden="1" x14ac:dyDescent="0.35">
      <c r="C1091" s="80"/>
      <c r="K1091" s="81">
        <f>SUM(Table1[[#This Row],[Technical Knowledge]:[Repeat job nahin aana]])/6</f>
        <v>0</v>
      </c>
      <c r="L1091" s="79" t="str">
        <f>IFERROR(AVERAGEIFS(Table1[Final Score],Table1[Month],Table1[[#This Row],[Month]],Table1[Year],Table1[[#This Row],[Year]],Table1[Mechanic Name],Table1[[#This Row],[Mechanic Name]]),"")</f>
        <v/>
      </c>
    </row>
    <row r="1092" spans="3:12" hidden="1" x14ac:dyDescent="0.35">
      <c r="C1092" s="80"/>
      <c r="K1092" s="81">
        <f>SUM(Table1[[#This Row],[Technical Knowledge]:[Repeat job nahin aana]])/6</f>
        <v>0</v>
      </c>
      <c r="L1092" s="79" t="str">
        <f>IFERROR(AVERAGEIFS(Table1[Final Score],Table1[Month],Table1[[#This Row],[Month]],Table1[Year],Table1[[#This Row],[Year]],Table1[Mechanic Name],Table1[[#This Row],[Mechanic Name]]),"")</f>
        <v/>
      </c>
    </row>
    <row r="1093" spans="3:12" hidden="1" x14ac:dyDescent="0.35">
      <c r="C1093" s="80"/>
      <c r="K1093" s="81">
        <f>SUM(Table1[[#This Row],[Technical Knowledge]:[Repeat job nahin aana]])/6</f>
        <v>0</v>
      </c>
      <c r="L1093" s="79" t="str">
        <f>IFERROR(AVERAGEIFS(Table1[Final Score],Table1[Month],Table1[[#This Row],[Month]],Table1[Year],Table1[[#This Row],[Year]],Table1[Mechanic Name],Table1[[#This Row],[Mechanic Name]]),"")</f>
        <v/>
      </c>
    </row>
    <row r="1094" spans="3:12" hidden="1" x14ac:dyDescent="0.35">
      <c r="C1094" s="80"/>
      <c r="K1094" s="81">
        <f>SUM(Table1[[#This Row],[Technical Knowledge]:[Repeat job nahin aana]])/6</f>
        <v>0</v>
      </c>
      <c r="L1094" s="79" t="str">
        <f>IFERROR(AVERAGEIFS(Table1[Final Score],Table1[Month],Table1[[#This Row],[Month]],Table1[Year],Table1[[#This Row],[Year]],Table1[Mechanic Name],Table1[[#This Row],[Mechanic Name]]),"")</f>
        <v/>
      </c>
    </row>
    <row r="1095" spans="3:12" hidden="1" x14ac:dyDescent="0.35">
      <c r="C1095" s="80"/>
      <c r="K1095" s="81">
        <f>SUM(Table1[[#This Row],[Technical Knowledge]:[Repeat job nahin aana]])/6</f>
        <v>0</v>
      </c>
      <c r="L1095" s="79" t="str">
        <f>IFERROR(AVERAGEIFS(Table1[Final Score],Table1[Month],Table1[[#This Row],[Month]],Table1[Year],Table1[[#This Row],[Year]],Table1[Mechanic Name],Table1[[#This Row],[Mechanic Name]]),"")</f>
        <v/>
      </c>
    </row>
    <row r="1096" spans="3:12" hidden="1" x14ac:dyDescent="0.35">
      <c r="C1096" s="80"/>
      <c r="K1096" s="81">
        <f>SUM(Table1[[#This Row],[Technical Knowledge]:[Repeat job nahin aana]])/6</f>
        <v>0</v>
      </c>
      <c r="L1096" s="79" t="str">
        <f>IFERROR(AVERAGEIFS(Table1[Final Score],Table1[Month],Table1[[#This Row],[Month]],Table1[Year],Table1[[#This Row],[Year]],Table1[Mechanic Name],Table1[[#This Row],[Mechanic Name]]),"")</f>
        <v/>
      </c>
    </row>
    <row r="1097" spans="3:12" hidden="1" x14ac:dyDescent="0.35">
      <c r="C1097" s="80"/>
      <c r="K1097" s="81">
        <f>SUM(Table1[[#This Row],[Technical Knowledge]:[Repeat job nahin aana]])/6</f>
        <v>0</v>
      </c>
      <c r="L1097" s="79" t="str">
        <f>IFERROR(AVERAGEIFS(Table1[Final Score],Table1[Month],Table1[[#This Row],[Month]],Table1[Year],Table1[[#This Row],[Year]],Table1[Mechanic Name],Table1[[#This Row],[Mechanic Name]]),"")</f>
        <v/>
      </c>
    </row>
    <row r="1098" spans="3:12" hidden="1" x14ac:dyDescent="0.35">
      <c r="C1098" s="80"/>
      <c r="K1098" s="81">
        <f>SUM(Table1[[#This Row],[Technical Knowledge]:[Repeat job nahin aana]])/6</f>
        <v>0</v>
      </c>
      <c r="L1098" s="79" t="str">
        <f>IFERROR(AVERAGEIFS(Table1[Final Score],Table1[Month],Table1[[#This Row],[Month]],Table1[Year],Table1[[#This Row],[Year]],Table1[Mechanic Name],Table1[[#This Row],[Mechanic Name]]),"")</f>
        <v/>
      </c>
    </row>
    <row r="1099" spans="3:12" hidden="1" x14ac:dyDescent="0.35">
      <c r="C1099" s="80"/>
      <c r="K1099" s="81">
        <f>SUM(Table1[[#This Row],[Technical Knowledge]:[Repeat job nahin aana]])/6</f>
        <v>0</v>
      </c>
      <c r="L1099" s="79" t="str">
        <f>IFERROR(AVERAGEIFS(Table1[Final Score],Table1[Month],Table1[[#This Row],[Month]],Table1[Year],Table1[[#This Row],[Year]],Table1[Mechanic Name],Table1[[#This Row],[Mechanic Name]]),"")</f>
        <v/>
      </c>
    </row>
    <row r="1100" spans="3:12" hidden="1" x14ac:dyDescent="0.35">
      <c r="C1100" s="80"/>
      <c r="K1100" s="81">
        <f>SUM(Table1[[#This Row],[Technical Knowledge]:[Repeat job nahin aana]])/6</f>
        <v>0</v>
      </c>
      <c r="L1100" s="79" t="str">
        <f>IFERROR(AVERAGEIFS(Table1[Final Score],Table1[Month],Table1[[#This Row],[Month]],Table1[Year],Table1[[#This Row],[Year]],Table1[Mechanic Name],Table1[[#This Row],[Mechanic Name]]),"")</f>
        <v/>
      </c>
    </row>
    <row r="1101" spans="3:12" hidden="1" x14ac:dyDescent="0.35">
      <c r="C1101" s="80"/>
      <c r="K1101" s="81">
        <f>SUM(Table1[[#This Row],[Technical Knowledge]:[Repeat job nahin aana]])/6</f>
        <v>0</v>
      </c>
      <c r="L1101" s="79" t="str">
        <f>IFERROR(AVERAGEIFS(Table1[Final Score],Table1[Month],Table1[[#This Row],[Month]],Table1[Year],Table1[[#This Row],[Year]],Table1[Mechanic Name],Table1[[#This Row],[Mechanic Name]]),"")</f>
        <v/>
      </c>
    </row>
    <row r="1102" spans="3:12" hidden="1" x14ac:dyDescent="0.35">
      <c r="C1102" s="80"/>
      <c r="K1102" s="81">
        <f>SUM(Table1[[#This Row],[Technical Knowledge]:[Repeat job nahin aana]])/6</f>
        <v>0</v>
      </c>
      <c r="L1102" s="79" t="str">
        <f>IFERROR(AVERAGEIFS(Table1[Final Score],Table1[Month],Table1[[#This Row],[Month]],Table1[Year],Table1[[#This Row],[Year]],Table1[Mechanic Name],Table1[[#This Row],[Mechanic Name]]),"")</f>
        <v/>
      </c>
    </row>
    <row r="1103" spans="3:12" hidden="1" x14ac:dyDescent="0.35">
      <c r="C1103" s="80"/>
      <c r="K1103" s="81">
        <f>SUM(Table1[[#This Row],[Technical Knowledge]:[Repeat job nahin aana]])/6</f>
        <v>0</v>
      </c>
      <c r="L1103" s="79" t="str">
        <f>IFERROR(AVERAGEIFS(Table1[Final Score],Table1[Month],Table1[[#This Row],[Month]],Table1[Year],Table1[[#This Row],[Year]],Table1[Mechanic Name],Table1[[#This Row],[Mechanic Name]]),"")</f>
        <v/>
      </c>
    </row>
    <row r="1104" spans="3:12" hidden="1" x14ac:dyDescent="0.35">
      <c r="C1104" s="80"/>
      <c r="K1104" s="81">
        <f>SUM(Table1[[#This Row],[Technical Knowledge]:[Repeat job nahin aana]])/6</f>
        <v>0</v>
      </c>
      <c r="L1104" s="79" t="str">
        <f>IFERROR(AVERAGEIFS(Table1[Final Score],Table1[Month],Table1[[#This Row],[Month]],Table1[Year],Table1[[#This Row],[Year]],Table1[Mechanic Name],Table1[[#This Row],[Mechanic Name]]),"")</f>
        <v/>
      </c>
    </row>
    <row r="1105" spans="3:12" hidden="1" x14ac:dyDescent="0.35">
      <c r="C1105" s="80"/>
      <c r="K1105" s="81">
        <f>SUM(Table1[[#This Row],[Technical Knowledge]:[Repeat job nahin aana]])/6</f>
        <v>0</v>
      </c>
      <c r="L1105" s="79" t="str">
        <f>IFERROR(AVERAGEIFS(Table1[Final Score],Table1[Month],Table1[[#This Row],[Month]],Table1[Year],Table1[[#This Row],[Year]],Table1[Mechanic Name],Table1[[#This Row],[Mechanic Name]]),"")</f>
        <v/>
      </c>
    </row>
    <row r="1106" spans="3:12" hidden="1" x14ac:dyDescent="0.35">
      <c r="C1106" s="80"/>
      <c r="K1106" s="81">
        <f>SUM(Table1[[#This Row],[Technical Knowledge]:[Repeat job nahin aana]])/6</f>
        <v>0</v>
      </c>
      <c r="L1106" s="79" t="str">
        <f>IFERROR(AVERAGEIFS(Table1[Final Score],Table1[Month],Table1[[#This Row],[Month]],Table1[Year],Table1[[#This Row],[Year]],Table1[Mechanic Name],Table1[[#This Row],[Mechanic Name]]),"")</f>
        <v/>
      </c>
    </row>
    <row r="1107" spans="3:12" hidden="1" x14ac:dyDescent="0.35">
      <c r="C1107" s="80"/>
      <c r="K1107" s="81">
        <f>SUM(Table1[[#This Row],[Technical Knowledge]:[Repeat job nahin aana]])/6</f>
        <v>0</v>
      </c>
      <c r="L1107" s="79" t="str">
        <f>IFERROR(AVERAGEIFS(Table1[Final Score],Table1[Month],Table1[[#This Row],[Month]],Table1[Year],Table1[[#This Row],[Year]],Table1[Mechanic Name],Table1[[#This Row],[Mechanic Name]]),"")</f>
        <v/>
      </c>
    </row>
    <row r="1108" spans="3:12" hidden="1" x14ac:dyDescent="0.35">
      <c r="C1108" s="80"/>
      <c r="K1108" s="81">
        <f>SUM(Table1[[#This Row],[Technical Knowledge]:[Repeat job nahin aana]])/6</f>
        <v>0</v>
      </c>
      <c r="L1108" s="79" t="str">
        <f>IFERROR(AVERAGEIFS(Table1[Final Score],Table1[Month],Table1[[#This Row],[Month]],Table1[Year],Table1[[#This Row],[Year]],Table1[Mechanic Name],Table1[[#This Row],[Mechanic Name]]),"")</f>
        <v/>
      </c>
    </row>
    <row r="1109" spans="3:12" hidden="1" x14ac:dyDescent="0.35">
      <c r="C1109" s="80"/>
      <c r="K1109" s="81">
        <f>SUM(Table1[[#This Row],[Technical Knowledge]:[Repeat job nahin aana]])/6</f>
        <v>0</v>
      </c>
      <c r="L1109" s="79" t="str">
        <f>IFERROR(AVERAGEIFS(Table1[Final Score],Table1[Month],Table1[[#This Row],[Month]],Table1[Year],Table1[[#This Row],[Year]],Table1[Mechanic Name],Table1[[#This Row],[Mechanic Name]]),"")</f>
        <v/>
      </c>
    </row>
    <row r="1110" spans="3:12" hidden="1" x14ac:dyDescent="0.35">
      <c r="C1110" s="80"/>
      <c r="K1110" s="81">
        <f>SUM(Table1[[#This Row],[Technical Knowledge]:[Repeat job nahin aana]])/6</f>
        <v>0</v>
      </c>
      <c r="L1110" s="79" t="str">
        <f>IFERROR(AVERAGEIFS(Table1[Final Score],Table1[Month],Table1[[#This Row],[Month]],Table1[Year],Table1[[#This Row],[Year]],Table1[Mechanic Name],Table1[[#This Row],[Mechanic Name]]),"")</f>
        <v/>
      </c>
    </row>
    <row r="1111" spans="3:12" hidden="1" x14ac:dyDescent="0.35">
      <c r="C1111" s="80"/>
      <c r="K1111" s="81">
        <f>SUM(Table1[[#This Row],[Technical Knowledge]:[Repeat job nahin aana]])/6</f>
        <v>0</v>
      </c>
      <c r="L1111" s="79" t="str">
        <f>IFERROR(AVERAGEIFS(Table1[Final Score],Table1[Month],Table1[[#This Row],[Month]],Table1[Year],Table1[[#This Row],[Year]],Table1[Mechanic Name],Table1[[#This Row],[Mechanic Name]]),"")</f>
        <v/>
      </c>
    </row>
    <row r="1112" spans="3:12" hidden="1" x14ac:dyDescent="0.35">
      <c r="C1112" s="80"/>
      <c r="K1112" s="81">
        <f>SUM(Table1[[#This Row],[Technical Knowledge]:[Repeat job nahin aana]])/6</f>
        <v>0</v>
      </c>
      <c r="L1112" s="79" t="str">
        <f>IFERROR(AVERAGEIFS(Table1[Final Score],Table1[Month],Table1[[#This Row],[Month]],Table1[Year],Table1[[#This Row],[Year]],Table1[Mechanic Name],Table1[[#This Row],[Mechanic Name]]),"")</f>
        <v/>
      </c>
    </row>
    <row r="1113" spans="3:12" hidden="1" x14ac:dyDescent="0.35">
      <c r="C1113" s="80"/>
      <c r="K1113" s="81">
        <f>SUM(Table1[[#This Row],[Technical Knowledge]:[Repeat job nahin aana]])/6</f>
        <v>0</v>
      </c>
      <c r="L1113" s="79" t="str">
        <f>IFERROR(AVERAGEIFS(Table1[Final Score],Table1[Month],Table1[[#This Row],[Month]],Table1[Year],Table1[[#This Row],[Year]],Table1[Mechanic Name],Table1[[#This Row],[Mechanic Name]]),"")</f>
        <v/>
      </c>
    </row>
    <row r="1114" spans="3:12" hidden="1" x14ac:dyDescent="0.35">
      <c r="C1114" s="80"/>
      <c r="K1114" s="81">
        <f>SUM(Table1[[#This Row],[Technical Knowledge]:[Repeat job nahin aana]])/6</f>
        <v>0</v>
      </c>
      <c r="L1114" s="79" t="str">
        <f>IFERROR(AVERAGEIFS(Table1[Final Score],Table1[Month],Table1[[#This Row],[Month]],Table1[Year],Table1[[#This Row],[Year]],Table1[Mechanic Name],Table1[[#This Row],[Mechanic Name]]),"")</f>
        <v/>
      </c>
    </row>
    <row r="1115" spans="3:12" hidden="1" x14ac:dyDescent="0.35">
      <c r="C1115" s="80"/>
      <c r="K1115" s="81">
        <f>SUM(Table1[[#This Row],[Technical Knowledge]:[Repeat job nahin aana]])/6</f>
        <v>0</v>
      </c>
      <c r="L1115" s="79" t="str">
        <f>IFERROR(AVERAGEIFS(Table1[Final Score],Table1[Month],Table1[[#This Row],[Month]],Table1[Year],Table1[[#This Row],[Year]],Table1[Mechanic Name],Table1[[#This Row],[Mechanic Name]]),"")</f>
        <v/>
      </c>
    </row>
    <row r="1116" spans="3:12" hidden="1" x14ac:dyDescent="0.35">
      <c r="C1116" s="80"/>
      <c r="K1116" s="81">
        <f>SUM(Table1[[#This Row],[Technical Knowledge]:[Repeat job nahin aana]])/6</f>
        <v>0</v>
      </c>
      <c r="L1116" s="79" t="str">
        <f>IFERROR(AVERAGEIFS(Table1[Final Score],Table1[Month],Table1[[#This Row],[Month]],Table1[Year],Table1[[#This Row],[Year]],Table1[Mechanic Name],Table1[[#This Row],[Mechanic Name]]),"")</f>
        <v/>
      </c>
    </row>
    <row r="1117" spans="3:12" hidden="1" x14ac:dyDescent="0.35">
      <c r="C1117" s="80"/>
      <c r="K1117" s="81">
        <f>SUM(Table1[[#This Row],[Technical Knowledge]:[Repeat job nahin aana]])/6</f>
        <v>0</v>
      </c>
      <c r="L1117" s="79" t="str">
        <f>IFERROR(AVERAGEIFS(Table1[Final Score],Table1[Month],Table1[[#This Row],[Month]],Table1[Year],Table1[[#This Row],[Year]],Table1[Mechanic Name],Table1[[#This Row],[Mechanic Name]]),"")</f>
        <v/>
      </c>
    </row>
    <row r="1118" spans="3:12" hidden="1" x14ac:dyDescent="0.35">
      <c r="C1118" s="80"/>
      <c r="K1118" s="81">
        <f>SUM(Table1[[#This Row],[Technical Knowledge]:[Repeat job nahin aana]])/6</f>
        <v>0</v>
      </c>
      <c r="L1118" s="79" t="str">
        <f>IFERROR(AVERAGEIFS(Table1[Final Score],Table1[Month],Table1[[#This Row],[Month]],Table1[Year],Table1[[#This Row],[Year]],Table1[Mechanic Name],Table1[[#This Row],[Mechanic Name]]),"")</f>
        <v/>
      </c>
    </row>
    <row r="1119" spans="3:12" hidden="1" x14ac:dyDescent="0.35">
      <c r="C1119" s="80"/>
      <c r="K1119" s="81">
        <f>SUM(Table1[[#This Row],[Technical Knowledge]:[Repeat job nahin aana]])/6</f>
        <v>0</v>
      </c>
      <c r="L1119" s="79" t="str">
        <f>IFERROR(AVERAGEIFS(Table1[Final Score],Table1[Month],Table1[[#This Row],[Month]],Table1[Year],Table1[[#This Row],[Year]],Table1[Mechanic Name],Table1[[#This Row],[Mechanic Name]]),"")</f>
        <v/>
      </c>
    </row>
    <row r="1120" spans="3:12" hidden="1" x14ac:dyDescent="0.35">
      <c r="C1120" s="80"/>
      <c r="K1120" s="81">
        <f>SUM(Table1[[#This Row],[Technical Knowledge]:[Repeat job nahin aana]])/6</f>
        <v>0</v>
      </c>
      <c r="L1120" s="79" t="str">
        <f>IFERROR(AVERAGEIFS(Table1[Final Score],Table1[Month],Table1[[#This Row],[Month]],Table1[Year],Table1[[#This Row],[Year]],Table1[Mechanic Name],Table1[[#This Row],[Mechanic Name]]),"")</f>
        <v/>
      </c>
    </row>
    <row r="1121" spans="3:12" hidden="1" x14ac:dyDescent="0.35">
      <c r="C1121" s="80"/>
      <c r="K1121" s="81">
        <f>SUM(Table1[[#This Row],[Technical Knowledge]:[Repeat job nahin aana]])/6</f>
        <v>0</v>
      </c>
      <c r="L1121" s="79" t="str">
        <f>IFERROR(AVERAGEIFS(Table1[Final Score],Table1[Month],Table1[[#This Row],[Month]],Table1[Year],Table1[[#This Row],[Year]],Table1[Mechanic Name],Table1[[#This Row],[Mechanic Name]]),"")</f>
        <v/>
      </c>
    </row>
    <row r="1122" spans="3:12" hidden="1" x14ac:dyDescent="0.35">
      <c r="C1122" s="80"/>
      <c r="K1122" s="81">
        <f>SUM(Table1[[#This Row],[Technical Knowledge]:[Repeat job nahin aana]])/6</f>
        <v>0</v>
      </c>
      <c r="L1122" s="79" t="str">
        <f>IFERROR(AVERAGEIFS(Table1[Final Score],Table1[Month],Table1[[#This Row],[Month]],Table1[Year],Table1[[#This Row],[Year]],Table1[Mechanic Name],Table1[[#This Row],[Mechanic Name]]),"")</f>
        <v/>
      </c>
    </row>
    <row r="1123" spans="3:12" hidden="1" x14ac:dyDescent="0.35">
      <c r="C1123" s="80"/>
      <c r="K1123" s="81">
        <f>SUM(Table1[[#This Row],[Technical Knowledge]:[Repeat job nahin aana]])/6</f>
        <v>0</v>
      </c>
      <c r="L1123" s="79" t="str">
        <f>IFERROR(AVERAGEIFS(Table1[Final Score],Table1[Month],Table1[[#This Row],[Month]],Table1[Year],Table1[[#This Row],[Year]],Table1[Mechanic Name],Table1[[#This Row],[Mechanic Name]]),"")</f>
        <v/>
      </c>
    </row>
    <row r="1124" spans="3:12" hidden="1" x14ac:dyDescent="0.35">
      <c r="C1124" s="80"/>
      <c r="K1124" s="81">
        <f>SUM(Table1[[#This Row],[Technical Knowledge]:[Repeat job nahin aana]])/6</f>
        <v>0</v>
      </c>
      <c r="L1124" s="79" t="str">
        <f>IFERROR(AVERAGEIFS(Table1[Final Score],Table1[Month],Table1[[#This Row],[Month]],Table1[Year],Table1[[#This Row],[Year]],Table1[Mechanic Name],Table1[[#This Row],[Mechanic Name]]),"")</f>
        <v/>
      </c>
    </row>
    <row r="1125" spans="3:12" hidden="1" x14ac:dyDescent="0.35">
      <c r="C1125" s="80"/>
      <c r="K1125" s="81">
        <f>SUM(Table1[[#This Row],[Technical Knowledge]:[Repeat job nahin aana]])/6</f>
        <v>0</v>
      </c>
      <c r="L1125" s="79" t="str">
        <f>IFERROR(AVERAGEIFS(Table1[Final Score],Table1[Month],Table1[[#This Row],[Month]],Table1[Year],Table1[[#This Row],[Year]],Table1[Mechanic Name],Table1[[#This Row],[Mechanic Name]]),"")</f>
        <v/>
      </c>
    </row>
    <row r="1126" spans="3:12" hidden="1" x14ac:dyDescent="0.35">
      <c r="C1126" s="80"/>
      <c r="K1126" s="81">
        <f>SUM(Table1[[#This Row],[Technical Knowledge]:[Repeat job nahin aana]])/6</f>
        <v>0</v>
      </c>
      <c r="L1126" s="79" t="str">
        <f>IFERROR(AVERAGEIFS(Table1[Final Score],Table1[Month],Table1[[#This Row],[Month]],Table1[Year],Table1[[#This Row],[Year]],Table1[Mechanic Name],Table1[[#This Row],[Mechanic Name]]),"")</f>
        <v/>
      </c>
    </row>
    <row r="1127" spans="3:12" hidden="1" x14ac:dyDescent="0.35">
      <c r="C1127" s="80"/>
      <c r="K1127" s="81">
        <f>SUM(Table1[[#This Row],[Technical Knowledge]:[Repeat job nahin aana]])/6</f>
        <v>0</v>
      </c>
      <c r="L1127" s="79" t="str">
        <f>IFERROR(AVERAGEIFS(Table1[Final Score],Table1[Month],Table1[[#This Row],[Month]],Table1[Year],Table1[[#This Row],[Year]],Table1[Mechanic Name],Table1[[#This Row],[Mechanic Name]]),"")</f>
        <v/>
      </c>
    </row>
    <row r="1128" spans="3:12" hidden="1" x14ac:dyDescent="0.35">
      <c r="C1128" s="80"/>
      <c r="K1128" s="81">
        <f>SUM(Table1[[#This Row],[Technical Knowledge]:[Repeat job nahin aana]])/6</f>
        <v>0</v>
      </c>
      <c r="L1128" s="79" t="str">
        <f>IFERROR(AVERAGEIFS(Table1[Final Score],Table1[Month],Table1[[#This Row],[Month]],Table1[Year],Table1[[#This Row],[Year]],Table1[Mechanic Name],Table1[[#This Row],[Mechanic Name]]),"")</f>
        <v/>
      </c>
    </row>
    <row r="1129" spans="3:12" hidden="1" x14ac:dyDescent="0.35">
      <c r="C1129" s="80"/>
      <c r="K1129" s="81">
        <f>SUM(Table1[[#This Row],[Technical Knowledge]:[Repeat job nahin aana]])/6</f>
        <v>0</v>
      </c>
      <c r="L1129" s="79" t="str">
        <f>IFERROR(AVERAGEIFS(Table1[Final Score],Table1[Month],Table1[[#This Row],[Month]],Table1[Year],Table1[[#This Row],[Year]],Table1[Mechanic Name],Table1[[#This Row],[Mechanic Name]]),"")</f>
        <v/>
      </c>
    </row>
    <row r="1130" spans="3:12" hidden="1" x14ac:dyDescent="0.35">
      <c r="C1130" s="80"/>
      <c r="K1130" s="81">
        <f>SUM(Table1[[#This Row],[Technical Knowledge]:[Repeat job nahin aana]])/6</f>
        <v>0</v>
      </c>
      <c r="L1130" s="79" t="str">
        <f>IFERROR(AVERAGEIFS(Table1[Final Score],Table1[Month],Table1[[#This Row],[Month]],Table1[Year],Table1[[#This Row],[Year]],Table1[Mechanic Name],Table1[[#This Row],[Mechanic Name]]),"")</f>
        <v/>
      </c>
    </row>
    <row r="1131" spans="3:12" hidden="1" x14ac:dyDescent="0.35">
      <c r="C1131" s="80"/>
      <c r="K1131" s="81">
        <f>SUM(Table1[[#This Row],[Technical Knowledge]:[Repeat job nahin aana]])/6</f>
        <v>0</v>
      </c>
      <c r="L1131" s="79" t="str">
        <f>IFERROR(AVERAGEIFS(Table1[Final Score],Table1[Month],Table1[[#This Row],[Month]],Table1[Year],Table1[[#This Row],[Year]],Table1[Mechanic Name],Table1[[#This Row],[Mechanic Name]]),"")</f>
        <v/>
      </c>
    </row>
    <row r="1132" spans="3:12" hidden="1" x14ac:dyDescent="0.35">
      <c r="C1132" s="80"/>
      <c r="K1132" s="81">
        <f>SUM(Table1[[#This Row],[Technical Knowledge]:[Repeat job nahin aana]])/6</f>
        <v>0</v>
      </c>
      <c r="L1132" s="79" t="str">
        <f>IFERROR(AVERAGEIFS(Table1[Final Score],Table1[Month],Table1[[#This Row],[Month]],Table1[Year],Table1[[#This Row],[Year]],Table1[Mechanic Name],Table1[[#This Row],[Mechanic Name]]),"")</f>
        <v/>
      </c>
    </row>
    <row r="1133" spans="3:12" hidden="1" x14ac:dyDescent="0.35">
      <c r="C1133" s="80"/>
      <c r="K1133" s="81">
        <f>SUM(Table1[[#This Row],[Technical Knowledge]:[Repeat job nahin aana]])/6</f>
        <v>0</v>
      </c>
      <c r="L1133" s="79" t="str">
        <f>IFERROR(AVERAGEIFS(Table1[Final Score],Table1[Month],Table1[[#This Row],[Month]],Table1[Year],Table1[[#This Row],[Year]],Table1[Mechanic Name],Table1[[#This Row],[Mechanic Name]]),"")</f>
        <v/>
      </c>
    </row>
    <row r="1134" spans="3:12" hidden="1" x14ac:dyDescent="0.35">
      <c r="C1134" s="80"/>
      <c r="K1134" s="81">
        <f>SUM(Table1[[#This Row],[Technical Knowledge]:[Repeat job nahin aana]])/6</f>
        <v>0</v>
      </c>
      <c r="L1134" s="79" t="str">
        <f>IFERROR(AVERAGEIFS(Table1[Final Score],Table1[Month],Table1[[#This Row],[Month]],Table1[Year],Table1[[#This Row],[Year]],Table1[Mechanic Name],Table1[[#This Row],[Mechanic Name]]),"")</f>
        <v/>
      </c>
    </row>
    <row r="1135" spans="3:12" hidden="1" x14ac:dyDescent="0.35">
      <c r="C1135" s="80"/>
      <c r="K1135" s="81">
        <f>SUM(Table1[[#This Row],[Technical Knowledge]:[Repeat job nahin aana]])/6</f>
        <v>0</v>
      </c>
      <c r="L1135" s="79" t="str">
        <f>IFERROR(AVERAGEIFS(Table1[Final Score],Table1[Month],Table1[[#This Row],[Month]],Table1[Year],Table1[[#This Row],[Year]],Table1[Mechanic Name],Table1[[#This Row],[Mechanic Name]]),"")</f>
        <v/>
      </c>
    </row>
    <row r="1136" spans="3:12" hidden="1" x14ac:dyDescent="0.35">
      <c r="C1136" s="80"/>
      <c r="K1136" s="81">
        <f>SUM(Table1[[#This Row],[Technical Knowledge]:[Repeat job nahin aana]])/6</f>
        <v>0</v>
      </c>
      <c r="L1136" s="79" t="str">
        <f>IFERROR(AVERAGEIFS(Table1[Final Score],Table1[Month],Table1[[#This Row],[Month]],Table1[Year],Table1[[#This Row],[Year]],Table1[Mechanic Name],Table1[[#This Row],[Mechanic Name]]),"")</f>
        <v/>
      </c>
    </row>
    <row r="1137" spans="3:12" hidden="1" x14ac:dyDescent="0.35">
      <c r="C1137" s="80"/>
      <c r="K1137" s="81">
        <f>SUM(Table1[[#This Row],[Technical Knowledge]:[Repeat job nahin aana]])/6</f>
        <v>0</v>
      </c>
      <c r="L1137" s="79" t="str">
        <f>IFERROR(AVERAGEIFS(Table1[Final Score],Table1[Month],Table1[[#This Row],[Month]],Table1[Year],Table1[[#This Row],[Year]],Table1[Mechanic Name],Table1[[#This Row],[Mechanic Name]]),"")</f>
        <v/>
      </c>
    </row>
    <row r="1138" spans="3:12" hidden="1" x14ac:dyDescent="0.35">
      <c r="C1138" s="80"/>
      <c r="K1138" s="81">
        <f>SUM(Table1[[#This Row],[Technical Knowledge]:[Repeat job nahin aana]])/6</f>
        <v>0</v>
      </c>
      <c r="L1138" s="79" t="str">
        <f>IFERROR(AVERAGEIFS(Table1[Final Score],Table1[Month],Table1[[#This Row],[Month]],Table1[Year],Table1[[#This Row],[Year]],Table1[Mechanic Name],Table1[[#This Row],[Mechanic Name]]),"")</f>
        <v/>
      </c>
    </row>
    <row r="1139" spans="3:12" hidden="1" x14ac:dyDescent="0.35">
      <c r="C1139" s="80"/>
      <c r="K1139" s="81">
        <f>SUM(Table1[[#This Row],[Technical Knowledge]:[Repeat job nahin aana]])/6</f>
        <v>0</v>
      </c>
      <c r="L1139" s="79" t="str">
        <f>IFERROR(AVERAGEIFS(Table1[Final Score],Table1[Month],Table1[[#This Row],[Month]],Table1[Year],Table1[[#This Row],[Year]],Table1[Mechanic Name],Table1[[#This Row],[Mechanic Name]]),"")</f>
        <v/>
      </c>
    </row>
    <row r="1140" spans="3:12" hidden="1" x14ac:dyDescent="0.35">
      <c r="C1140" s="80"/>
      <c r="K1140" s="81">
        <f>SUM(Table1[[#This Row],[Technical Knowledge]:[Repeat job nahin aana]])/6</f>
        <v>0</v>
      </c>
      <c r="L1140" s="79" t="str">
        <f>IFERROR(AVERAGEIFS(Table1[Final Score],Table1[Month],Table1[[#This Row],[Month]],Table1[Year],Table1[[#This Row],[Year]],Table1[Mechanic Name],Table1[[#This Row],[Mechanic Name]]),"")</f>
        <v/>
      </c>
    </row>
    <row r="1141" spans="3:12" hidden="1" x14ac:dyDescent="0.35">
      <c r="C1141" s="80"/>
      <c r="K1141" s="81">
        <f>SUM(Table1[[#This Row],[Technical Knowledge]:[Repeat job nahin aana]])/6</f>
        <v>0</v>
      </c>
      <c r="L1141" s="79" t="str">
        <f>IFERROR(AVERAGEIFS(Table1[Final Score],Table1[Month],Table1[[#This Row],[Month]],Table1[Year],Table1[[#This Row],[Year]],Table1[Mechanic Name],Table1[[#This Row],[Mechanic Name]]),"")</f>
        <v/>
      </c>
    </row>
    <row r="1142" spans="3:12" hidden="1" x14ac:dyDescent="0.35">
      <c r="C1142" s="80"/>
      <c r="K1142" s="81">
        <f>SUM(Table1[[#This Row],[Technical Knowledge]:[Repeat job nahin aana]])/6</f>
        <v>0</v>
      </c>
      <c r="L1142" s="79" t="str">
        <f>IFERROR(AVERAGEIFS(Table1[Final Score],Table1[Month],Table1[[#This Row],[Month]],Table1[Year],Table1[[#This Row],[Year]],Table1[Mechanic Name],Table1[[#This Row],[Mechanic Name]]),"")</f>
        <v/>
      </c>
    </row>
    <row r="1143" spans="3:12" hidden="1" x14ac:dyDescent="0.35">
      <c r="C1143" s="80"/>
      <c r="K1143" s="81">
        <f>SUM(Table1[[#This Row],[Technical Knowledge]:[Repeat job nahin aana]])/6</f>
        <v>0</v>
      </c>
      <c r="L1143" s="79" t="str">
        <f>IFERROR(AVERAGEIFS(Table1[Final Score],Table1[Month],Table1[[#This Row],[Month]],Table1[Year],Table1[[#This Row],[Year]],Table1[Mechanic Name],Table1[[#This Row],[Mechanic Name]]),"")</f>
        <v/>
      </c>
    </row>
    <row r="1144" spans="3:12" hidden="1" x14ac:dyDescent="0.35">
      <c r="C1144" s="80"/>
      <c r="K1144" s="81">
        <f>SUM(Table1[[#This Row],[Technical Knowledge]:[Repeat job nahin aana]])/6</f>
        <v>0</v>
      </c>
      <c r="L1144" s="79" t="str">
        <f>IFERROR(AVERAGEIFS(Table1[Final Score],Table1[Month],Table1[[#This Row],[Month]],Table1[Year],Table1[[#This Row],[Year]],Table1[Mechanic Name],Table1[[#This Row],[Mechanic Name]]),"")</f>
        <v/>
      </c>
    </row>
    <row r="1145" spans="3:12" hidden="1" x14ac:dyDescent="0.35">
      <c r="C1145" s="80"/>
      <c r="K1145" s="81">
        <f>SUM(Table1[[#This Row],[Technical Knowledge]:[Repeat job nahin aana]])/6</f>
        <v>0</v>
      </c>
      <c r="L1145" s="79" t="str">
        <f>IFERROR(AVERAGEIFS(Table1[Final Score],Table1[Month],Table1[[#This Row],[Month]],Table1[Year],Table1[[#This Row],[Year]],Table1[Mechanic Name],Table1[[#This Row],[Mechanic Name]]),"")</f>
        <v/>
      </c>
    </row>
    <row r="1146" spans="3:12" hidden="1" x14ac:dyDescent="0.35">
      <c r="C1146" s="80"/>
      <c r="K1146" s="81">
        <f>SUM(Table1[[#This Row],[Technical Knowledge]:[Repeat job nahin aana]])/6</f>
        <v>0</v>
      </c>
      <c r="L1146" s="79" t="str">
        <f>IFERROR(AVERAGEIFS(Table1[Final Score],Table1[Month],Table1[[#This Row],[Month]],Table1[Year],Table1[[#This Row],[Year]],Table1[Mechanic Name],Table1[[#This Row],[Mechanic Name]]),"")</f>
        <v/>
      </c>
    </row>
    <row r="1147" spans="3:12" hidden="1" x14ac:dyDescent="0.35">
      <c r="C1147" s="80"/>
      <c r="K1147" s="81">
        <f>SUM(Table1[[#This Row],[Technical Knowledge]:[Repeat job nahin aana]])/6</f>
        <v>0</v>
      </c>
      <c r="L1147" s="79" t="str">
        <f>IFERROR(AVERAGEIFS(Table1[Final Score],Table1[Month],Table1[[#This Row],[Month]],Table1[Year],Table1[[#This Row],[Year]],Table1[Mechanic Name],Table1[[#This Row],[Mechanic Name]]),"")</f>
        <v/>
      </c>
    </row>
    <row r="1148" spans="3:12" hidden="1" x14ac:dyDescent="0.35">
      <c r="C1148" s="80"/>
      <c r="K1148" s="81">
        <f>SUM(Table1[[#This Row],[Technical Knowledge]:[Repeat job nahin aana]])/6</f>
        <v>0</v>
      </c>
      <c r="L1148" s="79" t="str">
        <f>IFERROR(AVERAGEIFS(Table1[Final Score],Table1[Month],Table1[[#This Row],[Month]],Table1[Year],Table1[[#This Row],[Year]],Table1[Mechanic Name],Table1[[#This Row],[Mechanic Name]]),"")</f>
        <v/>
      </c>
    </row>
    <row r="1149" spans="3:12" hidden="1" x14ac:dyDescent="0.35">
      <c r="C1149" s="80"/>
      <c r="K1149" s="81">
        <f>SUM(Table1[[#This Row],[Technical Knowledge]:[Repeat job nahin aana]])/6</f>
        <v>0</v>
      </c>
      <c r="L1149" s="79" t="str">
        <f>IFERROR(AVERAGEIFS(Table1[Final Score],Table1[Month],Table1[[#This Row],[Month]],Table1[Year],Table1[[#This Row],[Year]],Table1[Mechanic Name],Table1[[#This Row],[Mechanic Name]]),"")</f>
        <v/>
      </c>
    </row>
    <row r="1150" spans="3:12" hidden="1" x14ac:dyDescent="0.35">
      <c r="C1150" s="80"/>
      <c r="K1150" s="81">
        <f>SUM(Table1[[#This Row],[Technical Knowledge]:[Repeat job nahin aana]])/6</f>
        <v>0</v>
      </c>
      <c r="L1150" s="79" t="str">
        <f>IFERROR(AVERAGEIFS(Table1[Final Score],Table1[Month],Table1[[#This Row],[Month]],Table1[Year],Table1[[#This Row],[Year]],Table1[Mechanic Name],Table1[[#This Row],[Mechanic Name]]),"")</f>
        <v/>
      </c>
    </row>
    <row r="1151" spans="3:12" hidden="1" x14ac:dyDescent="0.35">
      <c r="C1151" s="80"/>
      <c r="K1151" s="81">
        <f>SUM(Table1[[#This Row],[Technical Knowledge]:[Repeat job nahin aana]])/6</f>
        <v>0</v>
      </c>
      <c r="L1151" s="79" t="str">
        <f>IFERROR(AVERAGEIFS(Table1[Final Score],Table1[Month],Table1[[#This Row],[Month]],Table1[Year],Table1[[#This Row],[Year]],Table1[Mechanic Name],Table1[[#This Row],[Mechanic Name]]),"")</f>
        <v/>
      </c>
    </row>
    <row r="1152" spans="3:12" hidden="1" x14ac:dyDescent="0.35">
      <c r="C1152" s="80"/>
      <c r="K1152" s="81">
        <f>SUM(Table1[[#This Row],[Technical Knowledge]:[Repeat job nahin aana]])/6</f>
        <v>0</v>
      </c>
      <c r="L1152" s="79" t="str">
        <f>IFERROR(AVERAGEIFS(Table1[Final Score],Table1[Month],Table1[[#This Row],[Month]],Table1[Year],Table1[[#This Row],[Year]],Table1[Mechanic Name],Table1[[#This Row],[Mechanic Name]]),"")</f>
        <v/>
      </c>
    </row>
    <row r="1153" spans="3:12" hidden="1" x14ac:dyDescent="0.35">
      <c r="C1153" s="80"/>
      <c r="K1153" s="81">
        <f>SUM(Table1[[#This Row],[Technical Knowledge]:[Repeat job nahin aana]])/6</f>
        <v>0</v>
      </c>
      <c r="L1153" s="79" t="str">
        <f>IFERROR(AVERAGEIFS(Table1[Final Score],Table1[Month],Table1[[#This Row],[Month]],Table1[Year],Table1[[#This Row],[Year]],Table1[Mechanic Name],Table1[[#This Row],[Mechanic Name]]),"")</f>
        <v/>
      </c>
    </row>
    <row r="1154" spans="3:12" hidden="1" x14ac:dyDescent="0.35">
      <c r="C1154" s="80"/>
      <c r="K1154" s="81">
        <f>SUM(Table1[[#This Row],[Technical Knowledge]:[Repeat job nahin aana]])/6</f>
        <v>0</v>
      </c>
      <c r="L1154" s="79" t="str">
        <f>IFERROR(AVERAGEIFS(Table1[Final Score],Table1[Month],Table1[[#This Row],[Month]],Table1[Year],Table1[[#This Row],[Year]],Table1[Mechanic Name],Table1[[#This Row],[Mechanic Name]]),"")</f>
        <v/>
      </c>
    </row>
    <row r="1155" spans="3:12" hidden="1" x14ac:dyDescent="0.35">
      <c r="C1155" s="80"/>
      <c r="K1155" s="81">
        <f>SUM(Table1[[#This Row],[Technical Knowledge]:[Repeat job nahin aana]])/6</f>
        <v>0</v>
      </c>
      <c r="L1155" s="79" t="str">
        <f>IFERROR(AVERAGEIFS(Table1[Final Score],Table1[Month],Table1[[#This Row],[Month]],Table1[Year],Table1[[#This Row],[Year]],Table1[Mechanic Name],Table1[[#This Row],[Mechanic Name]]),"")</f>
        <v/>
      </c>
    </row>
    <row r="1156" spans="3:12" hidden="1" x14ac:dyDescent="0.35">
      <c r="C1156" s="80"/>
      <c r="K1156" s="81">
        <f>SUM(Table1[[#This Row],[Technical Knowledge]:[Repeat job nahin aana]])/6</f>
        <v>0</v>
      </c>
      <c r="L1156" s="79" t="str">
        <f>IFERROR(AVERAGEIFS(Table1[Final Score],Table1[Month],Table1[[#This Row],[Month]],Table1[Year],Table1[[#This Row],[Year]],Table1[Mechanic Name],Table1[[#This Row],[Mechanic Name]]),"")</f>
        <v/>
      </c>
    </row>
    <row r="1157" spans="3:12" hidden="1" x14ac:dyDescent="0.35">
      <c r="C1157" s="80"/>
      <c r="K1157" s="81">
        <f>SUM(Table1[[#This Row],[Technical Knowledge]:[Repeat job nahin aana]])/6</f>
        <v>0</v>
      </c>
      <c r="L1157" s="79" t="str">
        <f>IFERROR(AVERAGEIFS(Table1[Final Score],Table1[Month],Table1[[#This Row],[Month]],Table1[Year],Table1[[#This Row],[Year]],Table1[Mechanic Name],Table1[[#This Row],[Mechanic Name]]),"")</f>
        <v/>
      </c>
    </row>
    <row r="1158" spans="3:12" hidden="1" x14ac:dyDescent="0.35">
      <c r="C1158" s="80"/>
      <c r="K1158" s="81">
        <f>SUM(Table1[[#This Row],[Technical Knowledge]:[Repeat job nahin aana]])/6</f>
        <v>0</v>
      </c>
      <c r="L1158" s="79" t="str">
        <f>IFERROR(AVERAGEIFS(Table1[Final Score],Table1[Month],Table1[[#This Row],[Month]],Table1[Year],Table1[[#This Row],[Year]],Table1[Mechanic Name],Table1[[#This Row],[Mechanic Name]]),"")</f>
        <v/>
      </c>
    </row>
    <row r="1159" spans="3:12" hidden="1" x14ac:dyDescent="0.35">
      <c r="C1159" s="80"/>
      <c r="K1159" s="81">
        <f>SUM(Table1[[#This Row],[Technical Knowledge]:[Repeat job nahin aana]])/6</f>
        <v>0</v>
      </c>
      <c r="L1159" s="79" t="str">
        <f>IFERROR(AVERAGEIFS(Table1[Final Score],Table1[Month],Table1[[#This Row],[Month]],Table1[Year],Table1[[#This Row],[Year]],Table1[Mechanic Name],Table1[[#This Row],[Mechanic Name]]),"")</f>
        <v/>
      </c>
    </row>
    <row r="1160" spans="3:12" hidden="1" x14ac:dyDescent="0.35">
      <c r="C1160" s="80"/>
      <c r="K1160" s="81">
        <f>SUM(Table1[[#This Row],[Technical Knowledge]:[Repeat job nahin aana]])/6</f>
        <v>0</v>
      </c>
      <c r="L1160" s="79" t="str">
        <f>IFERROR(AVERAGEIFS(Table1[Final Score],Table1[Month],Table1[[#This Row],[Month]],Table1[Year],Table1[[#This Row],[Year]],Table1[Mechanic Name],Table1[[#This Row],[Mechanic Name]]),"")</f>
        <v/>
      </c>
    </row>
    <row r="1161" spans="3:12" hidden="1" x14ac:dyDescent="0.35">
      <c r="C1161" s="80"/>
      <c r="K1161" s="81">
        <f>SUM(Table1[[#This Row],[Technical Knowledge]:[Repeat job nahin aana]])/6</f>
        <v>0</v>
      </c>
      <c r="L1161" s="79" t="str">
        <f>IFERROR(AVERAGEIFS(Table1[Final Score],Table1[Month],Table1[[#This Row],[Month]],Table1[Year],Table1[[#This Row],[Year]],Table1[Mechanic Name],Table1[[#This Row],[Mechanic Name]]),"")</f>
        <v/>
      </c>
    </row>
    <row r="1162" spans="3:12" hidden="1" x14ac:dyDescent="0.35">
      <c r="C1162" s="80"/>
      <c r="K1162" s="81">
        <f>SUM(Table1[[#This Row],[Technical Knowledge]:[Repeat job nahin aana]])/6</f>
        <v>0</v>
      </c>
      <c r="L1162" s="79" t="str">
        <f>IFERROR(AVERAGEIFS(Table1[Final Score],Table1[Month],Table1[[#This Row],[Month]],Table1[Year],Table1[[#This Row],[Year]],Table1[Mechanic Name],Table1[[#This Row],[Mechanic Name]]),"")</f>
        <v/>
      </c>
    </row>
    <row r="1163" spans="3:12" hidden="1" x14ac:dyDescent="0.35">
      <c r="C1163" s="80"/>
      <c r="K1163" s="81">
        <f>SUM(Table1[[#This Row],[Technical Knowledge]:[Repeat job nahin aana]])/6</f>
        <v>0</v>
      </c>
      <c r="L1163" s="79" t="str">
        <f>IFERROR(AVERAGEIFS(Table1[Final Score],Table1[Month],Table1[[#This Row],[Month]],Table1[Year],Table1[[#This Row],[Year]],Table1[Mechanic Name],Table1[[#This Row],[Mechanic Name]]),"")</f>
        <v/>
      </c>
    </row>
    <row r="1164" spans="3:12" hidden="1" x14ac:dyDescent="0.35">
      <c r="C1164" s="80"/>
      <c r="K1164" s="81">
        <f>SUM(Table1[[#This Row],[Technical Knowledge]:[Repeat job nahin aana]])/6</f>
        <v>0</v>
      </c>
      <c r="L1164" s="79" t="str">
        <f>IFERROR(AVERAGEIFS(Table1[Final Score],Table1[Month],Table1[[#This Row],[Month]],Table1[Year],Table1[[#This Row],[Year]],Table1[Mechanic Name],Table1[[#This Row],[Mechanic Name]]),"")</f>
        <v/>
      </c>
    </row>
    <row r="1165" spans="3:12" hidden="1" x14ac:dyDescent="0.35">
      <c r="C1165" s="80"/>
      <c r="K1165" s="81">
        <f>SUM(Table1[[#This Row],[Technical Knowledge]:[Repeat job nahin aana]])/6</f>
        <v>0</v>
      </c>
      <c r="L1165" s="79" t="str">
        <f>IFERROR(AVERAGEIFS(Table1[Final Score],Table1[Month],Table1[[#This Row],[Month]],Table1[Year],Table1[[#This Row],[Year]],Table1[Mechanic Name],Table1[[#This Row],[Mechanic Name]]),"")</f>
        <v/>
      </c>
    </row>
    <row r="1166" spans="3:12" hidden="1" x14ac:dyDescent="0.35">
      <c r="C1166" s="80"/>
      <c r="K1166" s="81">
        <f>SUM(Table1[[#This Row],[Technical Knowledge]:[Repeat job nahin aana]])/6</f>
        <v>0</v>
      </c>
      <c r="L1166" s="79" t="str">
        <f>IFERROR(AVERAGEIFS(Table1[Final Score],Table1[Month],Table1[[#This Row],[Month]],Table1[Year],Table1[[#This Row],[Year]],Table1[Mechanic Name],Table1[[#This Row],[Mechanic Name]]),"")</f>
        <v/>
      </c>
    </row>
    <row r="1167" spans="3:12" hidden="1" x14ac:dyDescent="0.35">
      <c r="C1167" s="80"/>
      <c r="K1167" s="81">
        <f>SUM(Table1[[#This Row],[Technical Knowledge]:[Repeat job nahin aana]])/6</f>
        <v>0</v>
      </c>
      <c r="L1167" s="79" t="str">
        <f>IFERROR(AVERAGEIFS(Table1[Final Score],Table1[Month],Table1[[#This Row],[Month]],Table1[Year],Table1[[#This Row],[Year]],Table1[Mechanic Name],Table1[[#This Row],[Mechanic Name]]),"")</f>
        <v/>
      </c>
    </row>
    <row r="1168" spans="3:12" hidden="1" x14ac:dyDescent="0.35">
      <c r="C1168" s="80"/>
      <c r="K1168" s="81">
        <f>SUM(Table1[[#This Row],[Technical Knowledge]:[Repeat job nahin aana]])/6</f>
        <v>0</v>
      </c>
      <c r="L1168" s="79" t="str">
        <f>IFERROR(AVERAGEIFS(Table1[Final Score],Table1[Month],Table1[[#This Row],[Month]],Table1[Year],Table1[[#This Row],[Year]],Table1[Mechanic Name],Table1[[#This Row],[Mechanic Name]]),"")</f>
        <v/>
      </c>
    </row>
    <row r="1169" spans="3:12" hidden="1" x14ac:dyDescent="0.35">
      <c r="C1169" s="80"/>
      <c r="K1169" s="81">
        <f>SUM(Table1[[#This Row],[Technical Knowledge]:[Repeat job nahin aana]])/6</f>
        <v>0</v>
      </c>
      <c r="L1169" s="79" t="str">
        <f>IFERROR(AVERAGEIFS(Table1[Final Score],Table1[Month],Table1[[#This Row],[Month]],Table1[Year],Table1[[#This Row],[Year]],Table1[Mechanic Name],Table1[[#This Row],[Mechanic Name]]),"")</f>
        <v/>
      </c>
    </row>
    <row r="1170" spans="3:12" hidden="1" x14ac:dyDescent="0.35">
      <c r="C1170" s="80"/>
      <c r="K1170" s="81">
        <f>SUM(Table1[[#This Row],[Technical Knowledge]:[Repeat job nahin aana]])/6</f>
        <v>0</v>
      </c>
      <c r="L1170" s="79" t="str">
        <f>IFERROR(AVERAGEIFS(Table1[Final Score],Table1[Month],Table1[[#This Row],[Month]],Table1[Year],Table1[[#This Row],[Year]],Table1[Mechanic Name],Table1[[#This Row],[Mechanic Name]]),"")</f>
        <v/>
      </c>
    </row>
    <row r="1171" spans="3:12" hidden="1" x14ac:dyDescent="0.35">
      <c r="C1171" s="80"/>
      <c r="K1171" s="81">
        <f>SUM(Table1[[#This Row],[Technical Knowledge]:[Repeat job nahin aana]])/6</f>
        <v>0</v>
      </c>
      <c r="L1171" s="79" t="str">
        <f>IFERROR(AVERAGEIFS(Table1[Final Score],Table1[Month],Table1[[#This Row],[Month]],Table1[Year],Table1[[#This Row],[Year]],Table1[Mechanic Name],Table1[[#This Row],[Mechanic Name]]),"")</f>
        <v/>
      </c>
    </row>
    <row r="1172" spans="3:12" hidden="1" x14ac:dyDescent="0.35">
      <c r="C1172" s="80"/>
      <c r="K1172" s="81">
        <f>SUM(Table1[[#This Row],[Technical Knowledge]:[Repeat job nahin aana]])/6</f>
        <v>0</v>
      </c>
      <c r="L1172" s="79" t="str">
        <f>IFERROR(AVERAGEIFS(Table1[Final Score],Table1[Month],Table1[[#This Row],[Month]],Table1[Year],Table1[[#This Row],[Year]],Table1[Mechanic Name],Table1[[#This Row],[Mechanic Name]]),"")</f>
        <v/>
      </c>
    </row>
    <row r="1173" spans="3:12" hidden="1" x14ac:dyDescent="0.35">
      <c r="C1173" s="80"/>
      <c r="K1173" s="81">
        <f>SUM(Table1[[#This Row],[Technical Knowledge]:[Repeat job nahin aana]])/6</f>
        <v>0</v>
      </c>
      <c r="L1173" s="79" t="str">
        <f>IFERROR(AVERAGEIFS(Table1[Final Score],Table1[Month],Table1[[#This Row],[Month]],Table1[Year],Table1[[#This Row],[Year]],Table1[Mechanic Name],Table1[[#This Row],[Mechanic Name]]),"")</f>
        <v/>
      </c>
    </row>
    <row r="1174" spans="3:12" hidden="1" x14ac:dyDescent="0.35">
      <c r="C1174" s="80"/>
      <c r="K1174" s="81">
        <f>SUM(Table1[[#This Row],[Technical Knowledge]:[Repeat job nahin aana]])/6</f>
        <v>0</v>
      </c>
      <c r="L1174" s="79" t="str">
        <f>IFERROR(AVERAGEIFS(Table1[Final Score],Table1[Month],Table1[[#This Row],[Month]],Table1[Year],Table1[[#This Row],[Year]],Table1[Mechanic Name],Table1[[#This Row],[Mechanic Name]]),"")</f>
        <v/>
      </c>
    </row>
    <row r="1175" spans="3:12" hidden="1" x14ac:dyDescent="0.35">
      <c r="C1175" s="80"/>
      <c r="K1175" s="81">
        <f>SUM(Table1[[#This Row],[Technical Knowledge]:[Repeat job nahin aana]])/6</f>
        <v>0</v>
      </c>
      <c r="L1175" s="79" t="str">
        <f>IFERROR(AVERAGEIFS(Table1[Final Score],Table1[Month],Table1[[#This Row],[Month]],Table1[Year],Table1[[#This Row],[Year]],Table1[Mechanic Name],Table1[[#This Row],[Mechanic Name]]),"")</f>
        <v/>
      </c>
    </row>
    <row r="1176" spans="3:12" hidden="1" x14ac:dyDescent="0.35">
      <c r="C1176" s="80"/>
      <c r="K1176" s="81">
        <f>SUM(Table1[[#This Row],[Technical Knowledge]:[Repeat job nahin aana]])/6</f>
        <v>0</v>
      </c>
      <c r="L1176" s="79" t="str">
        <f>IFERROR(AVERAGEIFS(Table1[Final Score],Table1[Month],Table1[[#This Row],[Month]],Table1[Year],Table1[[#This Row],[Year]],Table1[Mechanic Name],Table1[[#This Row],[Mechanic Name]]),"")</f>
        <v/>
      </c>
    </row>
    <row r="1177" spans="3:12" hidden="1" x14ac:dyDescent="0.35">
      <c r="C1177" s="80"/>
      <c r="K1177" s="81">
        <f>SUM(Table1[[#This Row],[Technical Knowledge]:[Repeat job nahin aana]])/6</f>
        <v>0</v>
      </c>
      <c r="L1177" s="79" t="str">
        <f>IFERROR(AVERAGEIFS(Table1[Final Score],Table1[Month],Table1[[#This Row],[Month]],Table1[Year],Table1[[#This Row],[Year]],Table1[Mechanic Name],Table1[[#This Row],[Mechanic Name]]),"")</f>
        <v/>
      </c>
    </row>
    <row r="1178" spans="3:12" hidden="1" x14ac:dyDescent="0.35">
      <c r="C1178" s="80"/>
      <c r="K1178" s="81">
        <f>SUM(Table1[[#This Row],[Technical Knowledge]:[Repeat job nahin aana]])/6</f>
        <v>0</v>
      </c>
      <c r="L1178" s="79" t="str">
        <f>IFERROR(AVERAGEIFS(Table1[Final Score],Table1[Month],Table1[[#This Row],[Month]],Table1[Year],Table1[[#This Row],[Year]],Table1[Mechanic Name],Table1[[#This Row],[Mechanic Name]]),"")</f>
        <v/>
      </c>
    </row>
    <row r="1179" spans="3:12" hidden="1" x14ac:dyDescent="0.35">
      <c r="C1179" s="80"/>
      <c r="K1179" s="81">
        <f>SUM(Table1[[#This Row],[Technical Knowledge]:[Repeat job nahin aana]])/6</f>
        <v>0</v>
      </c>
      <c r="L1179" s="79" t="str">
        <f>IFERROR(AVERAGEIFS(Table1[Final Score],Table1[Month],Table1[[#This Row],[Month]],Table1[Year],Table1[[#This Row],[Year]],Table1[Mechanic Name],Table1[[#This Row],[Mechanic Name]]),"")</f>
        <v/>
      </c>
    </row>
    <row r="1180" spans="3:12" hidden="1" x14ac:dyDescent="0.35">
      <c r="C1180" s="80"/>
      <c r="K1180" s="81">
        <f>SUM(Table1[[#This Row],[Technical Knowledge]:[Repeat job nahin aana]])/6</f>
        <v>0</v>
      </c>
      <c r="L1180" s="79" t="str">
        <f>IFERROR(AVERAGEIFS(Table1[Final Score],Table1[Month],Table1[[#This Row],[Month]],Table1[Year],Table1[[#This Row],[Year]],Table1[Mechanic Name],Table1[[#This Row],[Mechanic Name]]),"")</f>
        <v/>
      </c>
    </row>
    <row r="1181" spans="3:12" hidden="1" x14ac:dyDescent="0.35">
      <c r="C1181" s="80"/>
      <c r="K1181" s="81">
        <f>SUM(Table1[[#This Row],[Technical Knowledge]:[Repeat job nahin aana]])/6</f>
        <v>0</v>
      </c>
      <c r="L1181" s="79" t="str">
        <f>IFERROR(AVERAGEIFS(Table1[Final Score],Table1[Month],Table1[[#This Row],[Month]],Table1[Year],Table1[[#This Row],[Year]],Table1[Mechanic Name],Table1[[#This Row],[Mechanic Name]]),"")</f>
        <v/>
      </c>
    </row>
    <row r="1182" spans="3:12" hidden="1" x14ac:dyDescent="0.35">
      <c r="C1182" s="80"/>
      <c r="K1182" s="81">
        <f>SUM(Table1[[#This Row],[Technical Knowledge]:[Repeat job nahin aana]])/6</f>
        <v>0</v>
      </c>
      <c r="L1182" s="79" t="str">
        <f>IFERROR(AVERAGEIFS(Table1[Final Score],Table1[Month],Table1[[#This Row],[Month]],Table1[Year],Table1[[#This Row],[Year]],Table1[Mechanic Name],Table1[[#This Row],[Mechanic Name]]),"")</f>
        <v/>
      </c>
    </row>
    <row r="1183" spans="3:12" hidden="1" x14ac:dyDescent="0.35">
      <c r="C1183" s="80"/>
      <c r="K1183" s="81">
        <f>SUM(Table1[[#This Row],[Technical Knowledge]:[Repeat job nahin aana]])/6</f>
        <v>0</v>
      </c>
      <c r="L1183" s="79" t="str">
        <f>IFERROR(AVERAGEIFS(Table1[Final Score],Table1[Month],Table1[[#This Row],[Month]],Table1[Year],Table1[[#This Row],[Year]],Table1[Mechanic Name],Table1[[#This Row],[Mechanic Name]]),"")</f>
        <v/>
      </c>
    </row>
    <row r="1184" spans="3:12" hidden="1" x14ac:dyDescent="0.35">
      <c r="C1184" s="80"/>
      <c r="K1184" s="81">
        <f>SUM(Table1[[#This Row],[Technical Knowledge]:[Repeat job nahin aana]])/6</f>
        <v>0</v>
      </c>
      <c r="L1184" s="79" t="str">
        <f>IFERROR(AVERAGEIFS(Table1[Final Score],Table1[Month],Table1[[#This Row],[Month]],Table1[Year],Table1[[#This Row],[Year]],Table1[Mechanic Name],Table1[[#This Row],[Mechanic Name]]),"")</f>
        <v/>
      </c>
    </row>
    <row r="1185" spans="3:12" hidden="1" x14ac:dyDescent="0.35">
      <c r="C1185" s="80"/>
      <c r="K1185" s="81">
        <f>SUM(Table1[[#This Row],[Technical Knowledge]:[Repeat job nahin aana]])/6</f>
        <v>0</v>
      </c>
      <c r="L1185" s="79" t="str">
        <f>IFERROR(AVERAGEIFS(Table1[Final Score],Table1[Month],Table1[[#This Row],[Month]],Table1[Year],Table1[[#This Row],[Year]],Table1[Mechanic Name],Table1[[#This Row],[Mechanic Name]]),"")</f>
        <v/>
      </c>
    </row>
    <row r="1186" spans="3:12" hidden="1" x14ac:dyDescent="0.35">
      <c r="C1186" s="80"/>
      <c r="K1186" s="81">
        <f>SUM(Table1[[#This Row],[Technical Knowledge]:[Repeat job nahin aana]])/6</f>
        <v>0</v>
      </c>
      <c r="L1186" s="79" t="str">
        <f>IFERROR(AVERAGEIFS(Table1[Final Score],Table1[Month],Table1[[#This Row],[Month]],Table1[Year],Table1[[#This Row],[Year]],Table1[Mechanic Name],Table1[[#This Row],[Mechanic Name]]),"")</f>
        <v/>
      </c>
    </row>
    <row r="1187" spans="3:12" hidden="1" x14ac:dyDescent="0.35">
      <c r="C1187" s="80"/>
      <c r="K1187" s="81">
        <f>SUM(Table1[[#This Row],[Technical Knowledge]:[Repeat job nahin aana]])/6</f>
        <v>0</v>
      </c>
      <c r="L1187" s="79" t="str">
        <f>IFERROR(AVERAGEIFS(Table1[Final Score],Table1[Month],Table1[[#This Row],[Month]],Table1[Year],Table1[[#This Row],[Year]],Table1[Mechanic Name],Table1[[#This Row],[Mechanic Name]]),"")</f>
        <v/>
      </c>
    </row>
    <row r="1188" spans="3:12" hidden="1" x14ac:dyDescent="0.35">
      <c r="C1188" s="80"/>
      <c r="K1188" s="81">
        <f>SUM(Table1[[#This Row],[Technical Knowledge]:[Repeat job nahin aana]])/6</f>
        <v>0</v>
      </c>
      <c r="L1188" s="79" t="str">
        <f>IFERROR(AVERAGEIFS(Table1[Final Score],Table1[Month],Table1[[#This Row],[Month]],Table1[Year],Table1[[#This Row],[Year]],Table1[Mechanic Name],Table1[[#This Row],[Mechanic Name]]),"")</f>
        <v/>
      </c>
    </row>
    <row r="1189" spans="3:12" hidden="1" x14ac:dyDescent="0.35">
      <c r="C1189" s="80"/>
      <c r="K1189" s="81">
        <f>SUM(Table1[[#This Row],[Technical Knowledge]:[Repeat job nahin aana]])/6</f>
        <v>0</v>
      </c>
      <c r="L1189" s="79" t="str">
        <f>IFERROR(AVERAGEIFS(Table1[Final Score],Table1[Month],Table1[[#This Row],[Month]],Table1[Year],Table1[[#This Row],[Year]],Table1[Mechanic Name],Table1[[#This Row],[Mechanic Name]]),"")</f>
        <v/>
      </c>
    </row>
    <row r="1190" spans="3:12" hidden="1" x14ac:dyDescent="0.35">
      <c r="C1190" s="80"/>
      <c r="K1190" s="81">
        <f>SUM(Table1[[#This Row],[Technical Knowledge]:[Repeat job nahin aana]])/6</f>
        <v>0</v>
      </c>
      <c r="L1190" s="79" t="str">
        <f>IFERROR(AVERAGEIFS(Table1[Final Score],Table1[Month],Table1[[#This Row],[Month]],Table1[Year],Table1[[#This Row],[Year]],Table1[Mechanic Name],Table1[[#This Row],[Mechanic Name]]),"")</f>
        <v/>
      </c>
    </row>
    <row r="1191" spans="3:12" hidden="1" x14ac:dyDescent="0.35">
      <c r="C1191" s="80"/>
      <c r="K1191" s="81">
        <f>SUM(Table1[[#This Row],[Technical Knowledge]:[Repeat job nahin aana]])/6</f>
        <v>0</v>
      </c>
      <c r="L1191" s="79" t="str">
        <f>IFERROR(AVERAGEIFS(Table1[Final Score],Table1[Month],Table1[[#This Row],[Month]],Table1[Year],Table1[[#This Row],[Year]],Table1[Mechanic Name],Table1[[#This Row],[Mechanic Name]]),"")</f>
        <v/>
      </c>
    </row>
    <row r="1192" spans="3:12" hidden="1" x14ac:dyDescent="0.35">
      <c r="C1192" s="80"/>
      <c r="K1192" s="81">
        <f>SUM(Table1[[#This Row],[Technical Knowledge]:[Repeat job nahin aana]])/6</f>
        <v>0</v>
      </c>
      <c r="L1192" s="79" t="str">
        <f>IFERROR(AVERAGEIFS(Table1[Final Score],Table1[Month],Table1[[#This Row],[Month]],Table1[Year],Table1[[#This Row],[Year]],Table1[Mechanic Name],Table1[[#This Row],[Mechanic Name]]),"")</f>
        <v/>
      </c>
    </row>
    <row r="1193" spans="3:12" hidden="1" x14ac:dyDescent="0.35">
      <c r="C1193" s="80"/>
      <c r="K1193" s="81">
        <f>SUM(Table1[[#This Row],[Technical Knowledge]:[Repeat job nahin aana]])/6</f>
        <v>0</v>
      </c>
      <c r="L1193" s="79" t="str">
        <f>IFERROR(AVERAGEIFS(Table1[Final Score],Table1[Month],Table1[[#This Row],[Month]],Table1[Year],Table1[[#This Row],[Year]],Table1[Mechanic Name],Table1[[#This Row],[Mechanic Name]]),"")</f>
        <v/>
      </c>
    </row>
    <row r="1194" spans="3:12" hidden="1" x14ac:dyDescent="0.35">
      <c r="C1194" s="80"/>
      <c r="K1194" s="81">
        <f>SUM(Table1[[#This Row],[Technical Knowledge]:[Repeat job nahin aana]])/6</f>
        <v>0</v>
      </c>
      <c r="L1194" s="79" t="str">
        <f>IFERROR(AVERAGEIFS(Table1[Final Score],Table1[Month],Table1[[#This Row],[Month]],Table1[Year],Table1[[#This Row],[Year]],Table1[Mechanic Name],Table1[[#This Row],[Mechanic Name]]),"")</f>
        <v/>
      </c>
    </row>
    <row r="1195" spans="3:12" hidden="1" x14ac:dyDescent="0.35">
      <c r="C1195" s="80"/>
      <c r="K1195" s="81">
        <f>SUM(Table1[[#This Row],[Technical Knowledge]:[Repeat job nahin aana]])/6</f>
        <v>0</v>
      </c>
      <c r="L1195" s="79" t="str">
        <f>IFERROR(AVERAGEIFS(Table1[Final Score],Table1[Month],Table1[[#This Row],[Month]],Table1[Year],Table1[[#This Row],[Year]],Table1[Mechanic Name],Table1[[#This Row],[Mechanic Name]]),"")</f>
        <v/>
      </c>
    </row>
    <row r="1196" spans="3:12" hidden="1" x14ac:dyDescent="0.35">
      <c r="C1196" s="80"/>
      <c r="K1196" s="81">
        <f>SUM(Table1[[#This Row],[Technical Knowledge]:[Repeat job nahin aana]])/6</f>
        <v>0</v>
      </c>
      <c r="L1196" s="79" t="str">
        <f>IFERROR(AVERAGEIFS(Table1[Final Score],Table1[Month],Table1[[#This Row],[Month]],Table1[Year],Table1[[#This Row],[Year]],Table1[Mechanic Name],Table1[[#This Row],[Mechanic Name]]),"")</f>
        <v/>
      </c>
    </row>
    <row r="1197" spans="3:12" hidden="1" x14ac:dyDescent="0.35">
      <c r="C1197" s="80"/>
      <c r="K1197" s="81">
        <f>SUM(Table1[[#This Row],[Technical Knowledge]:[Repeat job nahin aana]])/6</f>
        <v>0</v>
      </c>
      <c r="L1197" s="79" t="str">
        <f>IFERROR(AVERAGEIFS(Table1[Final Score],Table1[Month],Table1[[#This Row],[Month]],Table1[Year],Table1[[#This Row],[Year]],Table1[Mechanic Name],Table1[[#This Row],[Mechanic Name]]),"")</f>
        <v/>
      </c>
    </row>
    <row r="1198" spans="3:12" hidden="1" x14ac:dyDescent="0.35">
      <c r="C1198" s="80"/>
      <c r="K1198" s="81">
        <f>SUM(Table1[[#This Row],[Technical Knowledge]:[Repeat job nahin aana]])/6</f>
        <v>0</v>
      </c>
      <c r="L1198" s="79" t="str">
        <f>IFERROR(AVERAGEIFS(Table1[Final Score],Table1[Month],Table1[[#This Row],[Month]],Table1[Year],Table1[[#This Row],[Year]],Table1[Mechanic Name],Table1[[#This Row],[Mechanic Name]]),"")</f>
        <v/>
      </c>
    </row>
    <row r="1199" spans="3:12" hidden="1" x14ac:dyDescent="0.35">
      <c r="C1199" s="80"/>
      <c r="K1199" s="81">
        <f>SUM(Table1[[#This Row],[Technical Knowledge]:[Repeat job nahin aana]])/6</f>
        <v>0</v>
      </c>
      <c r="L1199" s="79" t="str">
        <f>IFERROR(AVERAGEIFS(Table1[Final Score],Table1[Month],Table1[[#This Row],[Month]],Table1[Year],Table1[[#This Row],[Year]],Table1[Mechanic Name],Table1[[#This Row],[Mechanic Name]]),"")</f>
        <v/>
      </c>
    </row>
    <row r="1200" spans="3:12" hidden="1" x14ac:dyDescent="0.35">
      <c r="C1200" s="80"/>
      <c r="K1200" s="81">
        <f>SUM(Table1[[#This Row],[Technical Knowledge]:[Repeat job nahin aana]])/6</f>
        <v>0</v>
      </c>
      <c r="L1200" s="79" t="str">
        <f>IFERROR(AVERAGEIFS(Table1[Final Score],Table1[Month],Table1[[#This Row],[Month]],Table1[Year],Table1[[#This Row],[Year]],Table1[Mechanic Name],Table1[[#This Row],[Mechanic Name]]),"")</f>
        <v/>
      </c>
    </row>
    <row r="1201" spans="3:12" hidden="1" x14ac:dyDescent="0.35">
      <c r="C1201" s="80"/>
      <c r="K1201" s="81">
        <f>SUM(Table1[[#This Row],[Technical Knowledge]:[Repeat job nahin aana]])/6</f>
        <v>0</v>
      </c>
      <c r="L1201" s="79" t="str">
        <f>IFERROR(AVERAGEIFS(Table1[Final Score],Table1[Month],Table1[[#This Row],[Month]],Table1[Year],Table1[[#This Row],[Year]],Table1[Mechanic Name],Table1[[#This Row],[Mechanic Name]]),"")</f>
        <v/>
      </c>
    </row>
    <row r="1202" spans="3:12" hidden="1" x14ac:dyDescent="0.35">
      <c r="C1202" s="80"/>
      <c r="K1202" s="81">
        <f>SUM(Table1[[#This Row],[Technical Knowledge]:[Repeat job nahin aana]])/6</f>
        <v>0</v>
      </c>
      <c r="L1202" s="79" t="str">
        <f>IFERROR(AVERAGEIFS(Table1[Final Score],Table1[Month],Table1[[#This Row],[Month]],Table1[Year],Table1[[#This Row],[Year]],Table1[Mechanic Name],Table1[[#This Row],[Mechanic Name]]),"")</f>
        <v/>
      </c>
    </row>
    <row r="1203" spans="3:12" hidden="1" x14ac:dyDescent="0.35">
      <c r="C1203" s="80"/>
      <c r="K1203" s="81">
        <f>SUM(Table1[[#This Row],[Technical Knowledge]:[Repeat job nahin aana]])/6</f>
        <v>0</v>
      </c>
      <c r="L1203" s="79" t="str">
        <f>IFERROR(AVERAGEIFS(Table1[Final Score],Table1[Month],Table1[[#This Row],[Month]],Table1[Year],Table1[[#This Row],[Year]],Table1[Mechanic Name],Table1[[#This Row],[Mechanic Name]]),"")</f>
        <v/>
      </c>
    </row>
    <row r="1204" spans="3:12" hidden="1" x14ac:dyDescent="0.35">
      <c r="C1204" s="80"/>
      <c r="K1204" s="81">
        <f>SUM(Table1[[#This Row],[Technical Knowledge]:[Repeat job nahin aana]])/6</f>
        <v>0</v>
      </c>
      <c r="L1204" s="79" t="str">
        <f>IFERROR(AVERAGEIFS(Table1[Final Score],Table1[Month],Table1[[#This Row],[Month]],Table1[Year],Table1[[#This Row],[Year]],Table1[Mechanic Name],Table1[[#This Row],[Mechanic Name]]),"")</f>
        <v/>
      </c>
    </row>
    <row r="1205" spans="3:12" hidden="1" x14ac:dyDescent="0.35">
      <c r="C1205" s="80"/>
      <c r="K1205" s="81">
        <f>SUM(Table1[[#This Row],[Technical Knowledge]:[Repeat job nahin aana]])/6</f>
        <v>0</v>
      </c>
      <c r="L1205" s="79" t="str">
        <f>IFERROR(AVERAGEIFS(Table1[Final Score],Table1[Month],Table1[[#This Row],[Month]],Table1[Year],Table1[[#This Row],[Year]],Table1[Mechanic Name],Table1[[#This Row],[Mechanic Name]]),"")</f>
        <v/>
      </c>
    </row>
    <row r="1206" spans="3:12" hidden="1" x14ac:dyDescent="0.35">
      <c r="C1206" s="80"/>
      <c r="K1206" s="81">
        <f>SUM(Table1[[#This Row],[Technical Knowledge]:[Repeat job nahin aana]])/6</f>
        <v>0</v>
      </c>
      <c r="L1206" s="79" t="str">
        <f>IFERROR(AVERAGEIFS(Table1[Final Score],Table1[Month],Table1[[#This Row],[Month]],Table1[Year],Table1[[#This Row],[Year]],Table1[Mechanic Name],Table1[[#This Row],[Mechanic Name]]),"")</f>
        <v/>
      </c>
    </row>
    <row r="1207" spans="3:12" hidden="1" x14ac:dyDescent="0.35">
      <c r="C1207" s="80"/>
      <c r="K1207" s="81">
        <f>SUM(Table1[[#This Row],[Technical Knowledge]:[Repeat job nahin aana]])/6</f>
        <v>0</v>
      </c>
      <c r="L1207" s="79" t="str">
        <f>IFERROR(AVERAGEIFS(Table1[Final Score],Table1[Month],Table1[[#This Row],[Month]],Table1[Year],Table1[[#This Row],[Year]],Table1[Mechanic Name],Table1[[#This Row],[Mechanic Name]]),"")</f>
        <v/>
      </c>
    </row>
    <row r="1208" spans="3:12" hidden="1" x14ac:dyDescent="0.35">
      <c r="C1208" s="80"/>
      <c r="K1208" s="81">
        <f>SUM(Table1[[#This Row],[Technical Knowledge]:[Repeat job nahin aana]])/6</f>
        <v>0</v>
      </c>
      <c r="L1208" s="79" t="str">
        <f>IFERROR(AVERAGEIFS(Table1[Final Score],Table1[Month],Table1[[#This Row],[Month]],Table1[Year],Table1[[#This Row],[Year]],Table1[Mechanic Name],Table1[[#This Row],[Mechanic Name]]),"")</f>
        <v/>
      </c>
    </row>
    <row r="1209" spans="3:12" hidden="1" x14ac:dyDescent="0.35">
      <c r="C1209" s="80"/>
      <c r="K1209" s="81">
        <f>SUM(Table1[[#This Row],[Technical Knowledge]:[Repeat job nahin aana]])/6</f>
        <v>0</v>
      </c>
      <c r="L1209" s="79" t="str">
        <f>IFERROR(AVERAGEIFS(Table1[Final Score],Table1[Month],Table1[[#This Row],[Month]],Table1[Year],Table1[[#This Row],[Year]],Table1[Mechanic Name],Table1[[#This Row],[Mechanic Name]]),"")</f>
        <v/>
      </c>
    </row>
    <row r="1210" spans="3:12" hidden="1" x14ac:dyDescent="0.35">
      <c r="C1210" s="80"/>
      <c r="K1210" s="81">
        <f>SUM(Table1[[#This Row],[Technical Knowledge]:[Repeat job nahin aana]])/6</f>
        <v>0</v>
      </c>
      <c r="L1210" s="79" t="str">
        <f>IFERROR(AVERAGEIFS(Table1[Final Score],Table1[Month],Table1[[#This Row],[Month]],Table1[Year],Table1[[#This Row],[Year]],Table1[Mechanic Name],Table1[[#This Row],[Mechanic Name]]),"")</f>
        <v/>
      </c>
    </row>
    <row r="1211" spans="3:12" hidden="1" x14ac:dyDescent="0.35">
      <c r="C1211" s="80"/>
      <c r="K1211" s="81">
        <f>SUM(Table1[[#This Row],[Technical Knowledge]:[Repeat job nahin aana]])/6</f>
        <v>0</v>
      </c>
      <c r="L1211" s="79" t="str">
        <f>IFERROR(AVERAGEIFS(Table1[Final Score],Table1[Month],Table1[[#This Row],[Month]],Table1[Year],Table1[[#This Row],[Year]],Table1[Mechanic Name],Table1[[#This Row],[Mechanic Name]]),"")</f>
        <v/>
      </c>
    </row>
    <row r="1212" spans="3:12" hidden="1" x14ac:dyDescent="0.35">
      <c r="C1212" s="80"/>
      <c r="K1212" s="81">
        <f>SUM(Table1[[#This Row],[Technical Knowledge]:[Repeat job nahin aana]])/6</f>
        <v>0</v>
      </c>
      <c r="L1212" s="79" t="str">
        <f>IFERROR(AVERAGEIFS(Table1[Final Score],Table1[Month],Table1[[#This Row],[Month]],Table1[Year],Table1[[#This Row],[Year]],Table1[Mechanic Name],Table1[[#This Row],[Mechanic Name]]),"")</f>
        <v/>
      </c>
    </row>
    <row r="1213" spans="3:12" hidden="1" x14ac:dyDescent="0.35">
      <c r="C1213" s="80"/>
      <c r="K1213" s="81">
        <f>SUM(Table1[[#This Row],[Technical Knowledge]:[Repeat job nahin aana]])/6</f>
        <v>0</v>
      </c>
      <c r="L1213" s="79" t="str">
        <f>IFERROR(AVERAGEIFS(Table1[Final Score],Table1[Month],Table1[[#This Row],[Month]],Table1[Year],Table1[[#This Row],[Year]],Table1[Mechanic Name],Table1[[#This Row],[Mechanic Name]]),"")</f>
        <v/>
      </c>
    </row>
    <row r="1214" spans="3:12" hidden="1" x14ac:dyDescent="0.35">
      <c r="C1214" s="80"/>
      <c r="K1214" s="81">
        <f>SUM(Table1[[#This Row],[Technical Knowledge]:[Repeat job nahin aana]])/6</f>
        <v>0</v>
      </c>
      <c r="L1214" s="79" t="str">
        <f>IFERROR(AVERAGEIFS(Table1[Final Score],Table1[Month],Table1[[#This Row],[Month]],Table1[Year],Table1[[#This Row],[Year]],Table1[Mechanic Name],Table1[[#This Row],[Mechanic Name]]),"")</f>
        <v/>
      </c>
    </row>
    <row r="1215" spans="3:12" hidden="1" x14ac:dyDescent="0.35">
      <c r="C1215" s="80"/>
      <c r="K1215" s="81">
        <f>SUM(Table1[[#This Row],[Technical Knowledge]:[Repeat job nahin aana]])/6</f>
        <v>0</v>
      </c>
      <c r="L1215" s="79" t="str">
        <f>IFERROR(AVERAGEIFS(Table1[Final Score],Table1[Month],Table1[[#This Row],[Month]],Table1[Year],Table1[[#This Row],[Year]],Table1[Mechanic Name],Table1[[#This Row],[Mechanic Name]]),"")</f>
        <v/>
      </c>
    </row>
    <row r="1216" spans="3:12" hidden="1" x14ac:dyDescent="0.35">
      <c r="C1216" s="80"/>
      <c r="K1216" s="81">
        <f>SUM(Table1[[#This Row],[Technical Knowledge]:[Repeat job nahin aana]])/6</f>
        <v>0</v>
      </c>
      <c r="L1216" s="79" t="str">
        <f>IFERROR(AVERAGEIFS(Table1[Final Score],Table1[Month],Table1[[#This Row],[Month]],Table1[Year],Table1[[#This Row],[Year]],Table1[Mechanic Name],Table1[[#This Row],[Mechanic Name]]),"")</f>
        <v/>
      </c>
    </row>
    <row r="1217" spans="3:12" hidden="1" x14ac:dyDescent="0.35">
      <c r="C1217" s="80"/>
      <c r="K1217" s="81">
        <f>SUM(Table1[[#This Row],[Technical Knowledge]:[Repeat job nahin aana]])/6</f>
        <v>0</v>
      </c>
      <c r="L1217" s="79" t="str">
        <f>IFERROR(AVERAGEIFS(Table1[Final Score],Table1[Month],Table1[[#This Row],[Month]],Table1[Year],Table1[[#This Row],[Year]],Table1[Mechanic Name],Table1[[#This Row],[Mechanic Name]]),"")</f>
        <v/>
      </c>
    </row>
    <row r="1218" spans="3:12" hidden="1" x14ac:dyDescent="0.35">
      <c r="C1218" s="80"/>
      <c r="K1218" s="81">
        <f>SUM(Table1[[#This Row],[Technical Knowledge]:[Repeat job nahin aana]])/6</f>
        <v>0</v>
      </c>
      <c r="L1218" s="79" t="str">
        <f>IFERROR(AVERAGEIFS(Table1[Final Score],Table1[Month],Table1[[#This Row],[Month]],Table1[Year],Table1[[#This Row],[Year]],Table1[Mechanic Name],Table1[[#This Row],[Mechanic Name]]),"")</f>
        <v/>
      </c>
    </row>
    <row r="1219" spans="3:12" hidden="1" x14ac:dyDescent="0.35">
      <c r="C1219" s="80"/>
      <c r="K1219" s="81">
        <f>SUM(Table1[[#This Row],[Technical Knowledge]:[Repeat job nahin aana]])/6</f>
        <v>0</v>
      </c>
      <c r="L1219" s="79" t="str">
        <f>IFERROR(AVERAGEIFS(Table1[Final Score],Table1[Month],Table1[[#This Row],[Month]],Table1[Year],Table1[[#This Row],[Year]],Table1[Mechanic Name],Table1[[#This Row],[Mechanic Name]]),"")</f>
        <v/>
      </c>
    </row>
    <row r="1220" spans="3:12" hidden="1" x14ac:dyDescent="0.35">
      <c r="C1220" s="80"/>
      <c r="K1220" s="81">
        <f>SUM(Table1[[#This Row],[Technical Knowledge]:[Repeat job nahin aana]])/6</f>
        <v>0</v>
      </c>
      <c r="L1220" s="79" t="str">
        <f>IFERROR(AVERAGEIFS(Table1[Final Score],Table1[Month],Table1[[#This Row],[Month]],Table1[Year],Table1[[#This Row],[Year]],Table1[Mechanic Name],Table1[[#This Row],[Mechanic Name]]),"")</f>
        <v/>
      </c>
    </row>
    <row r="1221" spans="3:12" hidden="1" x14ac:dyDescent="0.35">
      <c r="C1221" s="80"/>
      <c r="K1221" s="81">
        <f>SUM(Table1[[#This Row],[Technical Knowledge]:[Repeat job nahin aana]])/6</f>
        <v>0</v>
      </c>
      <c r="L1221" s="79" t="str">
        <f>IFERROR(AVERAGEIFS(Table1[Final Score],Table1[Month],Table1[[#This Row],[Month]],Table1[Year],Table1[[#This Row],[Year]],Table1[Mechanic Name],Table1[[#This Row],[Mechanic Name]]),"")</f>
        <v/>
      </c>
    </row>
    <row r="1222" spans="3:12" hidden="1" x14ac:dyDescent="0.35">
      <c r="C1222" s="80"/>
      <c r="K1222" s="81">
        <f>SUM(Table1[[#This Row],[Technical Knowledge]:[Repeat job nahin aana]])/6</f>
        <v>0</v>
      </c>
      <c r="L1222" s="79" t="str">
        <f>IFERROR(AVERAGEIFS(Table1[Final Score],Table1[Month],Table1[[#This Row],[Month]],Table1[Year],Table1[[#This Row],[Year]],Table1[Mechanic Name],Table1[[#This Row],[Mechanic Name]]),"")</f>
        <v/>
      </c>
    </row>
    <row r="1223" spans="3:12" hidden="1" x14ac:dyDescent="0.35">
      <c r="C1223" s="80"/>
      <c r="K1223" s="81">
        <f>SUM(Table1[[#This Row],[Technical Knowledge]:[Repeat job nahin aana]])/6</f>
        <v>0</v>
      </c>
      <c r="L1223" s="79" t="str">
        <f>IFERROR(AVERAGEIFS(Table1[Final Score],Table1[Month],Table1[[#This Row],[Month]],Table1[Year],Table1[[#This Row],[Year]],Table1[Mechanic Name],Table1[[#This Row],[Mechanic Name]]),"")</f>
        <v/>
      </c>
    </row>
    <row r="1224" spans="3:12" hidden="1" x14ac:dyDescent="0.35">
      <c r="C1224" s="80"/>
      <c r="K1224" s="81">
        <f>SUM(Table1[[#This Row],[Technical Knowledge]:[Repeat job nahin aana]])/6</f>
        <v>0</v>
      </c>
      <c r="L1224" s="79" t="str">
        <f>IFERROR(AVERAGEIFS(Table1[Final Score],Table1[Month],Table1[[#This Row],[Month]],Table1[Year],Table1[[#This Row],[Year]],Table1[Mechanic Name],Table1[[#This Row],[Mechanic Name]]),"")</f>
        <v/>
      </c>
    </row>
    <row r="1225" spans="3:12" hidden="1" x14ac:dyDescent="0.35">
      <c r="C1225" s="80"/>
      <c r="K1225" s="81">
        <f>SUM(Table1[[#This Row],[Technical Knowledge]:[Repeat job nahin aana]])/6</f>
        <v>0</v>
      </c>
      <c r="L1225" s="79" t="str">
        <f>IFERROR(AVERAGEIFS(Table1[Final Score],Table1[Month],Table1[[#This Row],[Month]],Table1[Year],Table1[[#This Row],[Year]],Table1[Mechanic Name],Table1[[#This Row],[Mechanic Name]]),"")</f>
        <v/>
      </c>
    </row>
    <row r="1226" spans="3:12" hidden="1" x14ac:dyDescent="0.35">
      <c r="C1226" s="80"/>
      <c r="K1226" s="81">
        <f>SUM(Table1[[#This Row],[Technical Knowledge]:[Repeat job nahin aana]])/6</f>
        <v>0</v>
      </c>
      <c r="L1226" s="79" t="str">
        <f>IFERROR(AVERAGEIFS(Table1[Final Score],Table1[Month],Table1[[#This Row],[Month]],Table1[Year],Table1[[#This Row],[Year]],Table1[Mechanic Name],Table1[[#This Row],[Mechanic Name]]),"")</f>
        <v/>
      </c>
    </row>
    <row r="1227" spans="3:12" hidden="1" x14ac:dyDescent="0.35">
      <c r="C1227" s="80"/>
      <c r="K1227" s="81">
        <f>SUM(Table1[[#This Row],[Technical Knowledge]:[Repeat job nahin aana]])/6</f>
        <v>0</v>
      </c>
      <c r="L1227" s="79" t="str">
        <f>IFERROR(AVERAGEIFS(Table1[Final Score],Table1[Month],Table1[[#This Row],[Month]],Table1[Year],Table1[[#This Row],[Year]],Table1[Mechanic Name],Table1[[#This Row],[Mechanic Name]]),"")</f>
        <v/>
      </c>
    </row>
    <row r="1228" spans="3:12" hidden="1" x14ac:dyDescent="0.35">
      <c r="C1228" s="80"/>
      <c r="K1228" s="81">
        <f>SUM(Table1[[#This Row],[Technical Knowledge]:[Repeat job nahin aana]])/6</f>
        <v>0</v>
      </c>
      <c r="L1228" s="79" t="str">
        <f>IFERROR(AVERAGEIFS(Table1[Final Score],Table1[Month],Table1[[#This Row],[Month]],Table1[Year],Table1[[#This Row],[Year]],Table1[Mechanic Name],Table1[[#This Row],[Mechanic Name]]),"")</f>
        <v/>
      </c>
    </row>
    <row r="1229" spans="3:12" hidden="1" x14ac:dyDescent="0.35">
      <c r="C1229" s="80"/>
      <c r="K1229" s="81">
        <f>SUM(Table1[[#This Row],[Technical Knowledge]:[Repeat job nahin aana]])/6</f>
        <v>0</v>
      </c>
      <c r="L1229" s="79" t="str">
        <f>IFERROR(AVERAGEIFS(Table1[Final Score],Table1[Month],Table1[[#This Row],[Month]],Table1[Year],Table1[[#This Row],[Year]],Table1[Mechanic Name],Table1[[#This Row],[Mechanic Name]]),"")</f>
        <v/>
      </c>
    </row>
    <row r="1230" spans="3:12" hidden="1" x14ac:dyDescent="0.35">
      <c r="C1230" s="80"/>
      <c r="K1230" s="81">
        <f>SUM(Table1[[#This Row],[Technical Knowledge]:[Repeat job nahin aana]])/6</f>
        <v>0</v>
      </c>
      <c r="L1230" s="79" t="str">
        <f>IFERROR(AVERAGEIFS(Table1[Final Score],Table1[Month],Table1[[#This Row],[Month]],Table1[Year],Table1[[#This Row],[Year]],Table1[Mechanic Name],Table1[[#This Row],[Mechanic Name]]),"")</f>
        <v/>
      </c>
    </row>
    <row r="1231" spans="3:12" hidden="1" x14ac:dyDescent="0.35">
      <c r="C1231" s="80"/>
      <c r="K1231" s="81">
        <f>SUM(Table1[[#This Row],[Technical Knowledge]:[Repeat job nahin aana]])/6</f>
        <v>0</v>
      </c>
      <c r="L1231" s="79" t="str">
        <f>IFERROR(AVERAGEIFS(Table1[Final Score],Table1[Month],Table1[[#This Row],[Month]],Table1[Year],Table1[[#This Row],[Year]],Table1[Mechanic Name],Table1[[#This Row],[Mechanic Name]]),"")</f>
        <v/>
      </c>
    </row>
    <row r="1232" spans="3:12" hidden="1" x14ac:dyDescent="0.35">
      <c r="C1232" s="80"/>
      <c r="K1232" s="81">
        <f>SUM(Table1[[#This Row],[Technical Knowledge]:[Repeat job nahin aana]])/6</f>
        <v>0</v>
      </c>
      <c r="L1232" s="79" t="str">
        <f>IFERROR(AVERAGEIFS(Table1[Final Score],Table1[Month],Table1[[#This Row],[Month]],Table1[Year],Table1[[#This Row],[Year]],Table1[Mechanic Name],Table1[[#This Row],[Mechanic Name]]),"")</f>
        <v/>
      </c>
    </row>
    <row r="1233" spans="3:12" hidden="1" x14ac:dyDescent="0.35">
      <c r="C1233" s="80"/>
      <c r="K1233" s="81">
        <f>SUM(Table1[[#This Row],[Technical Knowledge]:[Repeat job nahin aana]])/6</f>
        <v>0</v>
      </c>
      <c r="L1233" s="79" t="str">
        <f>IFERROR(AVERAGEIFS(Table1[Final Score],Table1[Month],Table1[[#This Row],[Month]],Table1[Year],Table1[[#This Row],[Year]],Table1[Mechanic Name],Table1[[#This Row],[Mechanic Name]]),"")</f>
        <v/>
      </c>
    </row>
    <row r="1234" spans="3:12" hidden="1" x14ac:dyDescent="0.35">
      <c r="C1234" s="80"/>
      <c r="K1234" s="81">
        <f>SUM(Table1[[#This Row],[Technical Knowledge]:[Repeat job nahin aana]])/6</f>
        <v>0</v>
      </c>
      <c r="L1234" s="79" t="str">
        <f>IFERROR(AVERAGEIFS(Table1[Final Score],Table1[Month],Table1[[#This Row],[Month]],Table1[Year],Table1[[#This Row],[Year]],Table1[Mechanic Name],Table1[[#This Row],[Mechanic Name]]),"")</f>
        <v/>
      </c>
    </row>
    <row r="1235" spans="3:12" hidden="1" x14ac:dyDescent="0.35">
      <c r="C1235" s="80"/>
      <c r="K1235" s="81">
        <f>SUM(Table1[[#This Row],[Technical Knowledge]:[Repeat job nahin aana]])/6</f>
        <v>0</v>
      </c>
      <c r="L1235" s="79" t="str">
        <f>IFERROR(AVERAGEIFS(Table1[Final Score],Table1[Month],Table1[[#This Row],[Month]],Table1[Year],Table1[[#This Row],[Year]],Table1[Mechanic Name],Table1[[#This Row],[Mechanic Name]]),"")</f>
        <v/>
      </c>
    </row>
    <row r="1236" spans="3:12" hidden="1" x14ac:dyDescent="0.35">
      <c r="C1236" s="80"/>
      <c r="K1236" s="81">
        <f>SUM(Table1[[#This Row],[Technical Knowledge]:[Repeat job nahin aana]])/6</f>
        <v>0</v>
      </c>
      <c r="L1236" s="79" t="str">
        <f>IFERROR(AVERAGEIFS(Table1[Final Score],Table1[Month],Table1[[#This Row],[Month]],Table1[Year],Table1[[#This Row],[Year]],Table1[Mechanic Name],Table1[[#This Row],[Mechanic Name]]),"")</f>
        <v/>
      </c>
    </row>
    <row r="1237" spans="3:12" hidden="1" x14ac:dyDescent="0.35">
      <c r="C1237" s="80"/>
      <c r="K1237" s="81">
        <f>SUM(Table1[[#This Row],[Technical Knowledge]:[Repeat job nahin aana]])/6</f>
        <v>0</v>
      </c>
      <c r="L1237" s="79" t="str">
        <f>IFERROR(AVERAGEIFS(Table1[Final Score],Table1[Month],Table1[[#This Row],[Month]],Table1[Year],Table1[[#This Row],[Year]],Table1[Mechanic Name],Table1[[#This Row],[Mechanic Name]]),"")</f>
        <v/>
      </c>
    </row>
    <row r="1238" spans="3:12" hidden="1" x14ac:dyDescent="0.35">
      <c r="C1238" s="80"/>
      <c r="K1238" s="81">
        <f>SUM(Table1[[#This Row],[Technical Knowledge]:[Repeat job nahin aana]])/6</f>
        <v>0</v>
      </c>
      <c r="L1238" s="79" t="str">
        <f>IFERROR(AVERAGEIFS(Table1[Final Score],Table1[Month],Table1[[#This Row],[Month]],Table1[Year],Table1[[#This Row],[Year]],Table1[Mechanic Name],Table1[[#This Row],[Mechanic Name]]),"")</f>
        <v/>
      </c>
    </row>
    <row r="1239" spans="3:12" hidden="1" x14ac:dyDescent="0.35">
      <c r="C1239" s="80"/>
      <c r="K1239" s="81">
        <f>SUM(Table1[[#This Row],[Technical Knowledge]:[Repeat job nahin aana]])/6</f>
        <v>0</v>
      </c>
      <c r="L1239" s="79" t="str">
        <f>IFERROR(AVERAGEIFS(Table1[Final Score],Table1[Month],Table1[[#This Row],[Month]],Table1[Year],Table1[[#This Row],[Year]],Table1[Mechanic Name],Table1[[#This Row],[Mechanic Name]]),"")</f>
        <v/>
      </c>
    </row>
    <row r="1240" spans="3:12" hidden="1" x14ac:dyDescent="0.35">
      <c r="C1240" s="80"/>
      <c r="K1240" s="81">
        <f>SUM(Table1[[#This Row],[Technical Knowledge]:[Repeat job nahin aana]])/6</f>
        <v>0</v>
      </c>
      <c r="L1240" s="79" t="str">
        <f>IFERROR(AVERAGEIFS(Table1[Final Score],Table1[Month],Table1[[#This Row],[Month]],Table1[Year],Table1[[#This Row],[Year]],Table1[Mechanic Name],Table1[[#This Row],[Mechanic Name]]),"")</f>
        <v/>
      </c>
    </row>
    <row r="1241" spans="3:12" hidden="1" x14ac:dyDescent="0.35">
      <c r="C1241" s="80"/>
      <c r="K1241" s="81">
        <f>SUM(Table1[[#This Row],[Technical Knowledge]:[Repeat job nahin aana]])/6</f>
        <v>0</v>
      </c>
      <c r="L1241" s="79" t="str">
        <f>IFERROR(AVERAGEIFS(Table1[Final Score],Table1[Month],Table1[[#This Row],[Month]],Table1[Year],Table1[[#This Row],[Year]],Table1[Mechanic Name],Table1[[#This Row],[Mechanic Name]]),"")</f>
        <v/>
      </c>
    </row>
    <row r="1242" spans="3:12" hidden="1" x14ac:dyDescent="0.35">
      <c r="C1242" s="80"/>
      <c r="K1242" s="81">
        <f>SUM(Table1[[#This Row],[Technical Knowledge]:[Repeat job nahin aana]])/6</f>
        <v>0</v>
      </c>
      <c r="L1242" s="79" t="str">
        <f>IFERROR(AVERAGEIFS(Table1[Final Score],Table1[Month],Table1[[#This Row],[Month]],Table1[Year],Table1[[#This Row],[Year]],Table1[Mechanic Name],Table1[[#This Row],[Mechanic Name]]),"")</f>
        <v/>
      </c>
    </row>
    <row r="1243" spans="3:12" hidden="1" x14ac:dyDescent="0.35">
      <c r="C1243" s="80"/>
      <c r="K1243" s="81">
        <f>SUM(Table1[[#This Row],[Technical Knowledge]:[Repeat job nahin aana]])/6</f>
        <v>0</v>
      </c>
      <c r="L1243" s="79" t="str">
        <f>IFERROR(AVERAGEIFS(Table1[Final Score],Table1[Month],Table1[[#This Row],[Month]],Table1[Year],Table1[[#This Row],[Year]],Table1[Mechanic Name],Table1[[#This Row],[Mechanic Name]]),"")</f>
        <v/>
      </c>
    </row>
    <row r="1244" spans="3:12" hidden="1" x14ac:dyDescent="0.35">
      <c r="C1244" s="80"/>
      <c r="K1244" s="81">
        <f>SUM(Table1[[#This Row],[Technical Knowledge]:[Repeat job nahin aana]])/6</f>
        <v>0</v>
      </c>
      <c r="L1244" s="79" t="str">
        <f>IFERROR(AVERAGEIFS(Table1[Final Score],Table1[Month],Table1[[#This Row],[Month]],Table1[Year],Table1[[#This Row],[Year]],Table1[Mechanic Name],Table1[[#This Row],[Mechanic Name]]),"")</f>
        <v/>
      </c>
    </row>
    <row r="1245" spans="3:12" hidden="1" x14ac:dyDescent="0.35">
      <c r="C1245" s="80"/>
      <c r="K1245" s="81">
        <f>SUM(Table1[[#This Row],[Technical Knowledge]:[Repeat job nahin aana]])/6</f>
        <v>0</v>
      </c>
      <c r="L1245" s="79" t="str">
        <f>IFERROR(AVERAGEIFS(Table1[Final Score],Table1[Month],Table1[[#This Row],[Month]],Table1[Year],Table1[[#This Row],[Year]],Table1[Mechanic Name],Table1[[#This Row],[Mechanic Name]]),"")</f>
        <v/>
      </c>
    </row>
    <row r="1246" spans="3:12" hidden="1" x14ac:dyDescent="0.35">
      <c r="C1246" s="80"/>
      <c r="K1246" s="81">
        <f>SUM(Table1[[#This Row],[Technical Knowledge]:[Repeat job nahin aana]])/6</f>
        <v>0</v>
      </c>
      <c r="L1246" s="79" t="str">
        <f>IFERROR(AVERAGEIFS(Table1[Final Score],Table1[Month],Table1[[#This Row],[Month]],Table1[Year],Table1[[#This Row],[Year]],Table1[Mechanic Name],Table1[[#This Row],[Mechanic Name]]),"")</f>
        <v/>
      </c>
    </row>
    <row r="1247" spans="3:12" hidden="1" x14ac:dyDescent="0.35">
      <c r="C1247" s="80"/>
      <c r="K1247" s="81">
        <f>SUM(Table1[[#This Row],[Technical Knowledge]:[Repeat job nahin aana]])/6</f>
        <v>0</v>
      </c>
      <c r="L1247" s="79" t="str">
        <f>IFERROR(AVERAGEIFS(Table1[Final Score],Table1[Month],Table1[[#This Row],[Month]],Table1[Year],Table1[[#This Row],[Year]],Table1[Mechanic Name],Table1[[#This Row],[Mechanic Name]]),"")</f>
        <v/>
      </c>
    </row>
    <row r="1248" spans="3:12" hidden="1" x14ac:dyDescent="0.35">
      <c r="C1248" s="80"/>
      <c r="K1248" s="81">
        <f>SUM(Table1[[#This Row],[Technical Knowledge]:[Repeat job nahin aana]])/6</f>
        <v>0</v>
      </c>
      <c r="L1248" s="79" t="str">
        <f>IFERROR(AVERAGEIFS(Table1[Final Score],Table1[Month],Table1[[#This Row],[Month]],Table1[Year],Table1[[#This Row],[Year]],Table1[Mechanic Name],Table1[[#This Row],[Mechanic Name]]),"")</f>
        <v/>
      </c>
    </row>
    <row r="1249" spans="3:12" hidden="1" x14ac:dyDescent="0.35">
      <c r="C1249" s="80"/>
      <c r="K1249" s="81">
        <f>SUM(Table1[[#This Row],[Technical Knowledge]:[Repeat job nahin aana]])/6</f>
        <v>0</v>
      </c>
      <c r="L1249" s="79" t="str">
        <f>IFERROR(AVERAGEIFS(Table1[Final Score],Table1[Month],Table1[[#This Row],[Month]],Table1[Year],Table1[[#This Row],[Year]],Table1[Mechanic Name],Table1[[#This Row],[Mechanic Name]]),"")</f>
        <v/>
      </c>
    </row>
    <row r="1250" spans="3:12" hidden="1" x14ac:dyDescent="0.35">
      <c r="C1250" s="80"/>
      <c r="K1250" s="81">
        <f>SUM(Table1[[#This Row],[Technical Knowledge]:[Repeat job nahin aana]])/6</f>
        <v>0</v>
      </c>
      <c r="L1250" s="79" t="str">
        <f>IFERROR(AVERAGEIFS(Table1[Final Score],Table1[Month],Table1[[#This Row],[Month]],Table1[Year],Table1[[#This Row],[Year]],Table1[Mechanic Name],Table1[[#This Row],[Mechanic Name]]),"")</f>
        <v/>
      </c>
    </row>
    <row r="1251" spans="3:12" hidden="1" x14ac:dyDescent="0.35">
      <c r="C1251" s="80"/>
      <c r="K1251" s="81">
        <f>SUM(Table1[[#This Row],[Technical Knowledge]:[Repeat job nahin aana]])/6</f>
        <v>0</v>
      </c>
      <c r="L1251" s="79" t="str">
        <f>IFERROR(AVERAGEIFS(Table1[Final Score],Table1[Month],Table1[[#This Row],[Month]],Table1[Year],Table1[[#This Row],[Year]],Table1[Mechanic Name],Table1[[#This Row],[Mechanic Name]]),"")</f>
        <v/>
      </c>
    </row>
    <row r="1252" spans="3:12" hidden="1" x14ac:dyDescent="0.35">
      <c r="C1252" s="80"/>
      <c r="K1252" s="81">
        <f>SUM(Table1[[#This Row],[Technical Knowledge]:[Repeat job nahin aana]])/6</f>
        <v>0</v>
      </c>
      <c r="L1252" s="79" t="str">
        <f>IFERROR(AVERAGEIFS(Table1[Final Score],Table1[Month],Table1[[#This Row],[Month]],Table1[Year],Table1[[#This Row],[Year]],Table1[Mechanic Name],Table1[[#This Row],[Mechanic Name]]),"")</f>
        <v/>
      </c>
    </row>
    <row r="1253" spans="3:12" hidden="1" x14ac:dyDescent="0.35">
      <c r="C1253" s="80"/>
      <c r="K1253" s="81">
        <f>SUM(Table1[[#This Row],[Technical Knowledge]:[Repeat job nahin aana]])/6</f>
        <v>0</v>
      </c>
      <c r="L1253" s="79" t="str">
        <f>IFERROR(AVERAGEIFS(Table1[Final Score],Table1[Month],Table1[[#This Row],[Month]],Table1[Year],Table1[[#This Row],[Year]],Table1[Mechanic Name],Table1[[#This Row],[Mechanic Name]]),"")</f>
        <v/>
      </c>
    </row>
    <row r="1254" spans="3:12" hidden="1" x14ac:dyDescent="0.35">
      <c r="C1254" s="80"/>
      <c r="K1254" s="81">
        <f>SUM(Table1[[#This Row],[Technical Knowledge]:[Repeat job nahin aana]])/6</f>
        <v>0</v>
      </c>
      <c r="L1254" s="79" t="str">
        <f>IFERROR(AVERAGEIFS(Table1[Final Score],Table1[Month],Table1[[#This Row],[Month]],Table1[Year],Table1[[#This Row],[Year]],Table1[Mechanic Name],Table1[[#This Row],[Mechanic Name]]),"")</f>
        <v/>
      </c>
    </row>
    <row r="1255" spans="3:12" hidden="1" x14ac:dyDescent="0.35">
      <c r="C1255" s="80"/>
      <c r="K1255" s="81">
        <f>SUM(Table1[[#This Row],[Technical Knowledge]:[Repeat job nahin aana]])/6</f>
        <v>0</v>
      </c>
      <c r="L1255" s="79" t="str">
        <f>IFERROR(AVERAGEIFS(Table1[Final Score],Table1[Month],Table1[[#This Row],[Month]],Table1[Year],Table1[[#This Row],[Year]],Table1[Mechanic Name],Table1[[#This Row],[Mechanic Name]]),"")</f>
        <v/>
      </c>
    </row>
    <row r="1256" spans="3:12" hidden="1" x14ac:dyDescent="0.35">
      <c r="C1256" s="80"/>
      <c r="K1256" s="81">
        <f>SUM(Table1[[#This Row],[Technical Knowledge]:[Repeat job nahin aana]])/6</f>
        <v>0</v>
      </c>
      <c r="L1256" s="79" t="str">
        <f>IFERROR(AVERAGEIFS(Table1[Final Score],Table1[Month],Table1[[#This Row],[Month]],Table1[Year],Table1[[#This Row],[Year]],Table1[Mechanic Name],Table1[[#This Row],[Mechanic Name]]),"")</f>
        <v/>
      </c>
    </row>
    <row r="1257" spans="3:12" hidden="1" x14ac:dyDescent="0.35">
      <c r="C1257" s="80"/>
      <c r="K1257" s="81">
        <f>SUM(Table1[[#This Row],[Technical Knowledge]:[Repeat job nahin aana]])/6</f>
        <v>0</v>
      </c>
      <c r="L1257" s="79" t="str">
        <f>IFERROR(AVERAGEIFS(Table1[Final Score],Table1[Month],Table1[[#This Row],[Month]],Table1[Year],Table1[[#This Row],[Year]],Table1[Mechanic Name],Table1[[#This Row],[Mechanic Name]]),"")</f>
        <v/>
      </c>
    </row>
    <row r="1258" spans="3:12" hidden="1" x14ac:dyDescent="0.35">
      <c r="C1258" s="80"/>
      <c r="K1258" s="81">
        <f>SUM(Table1[[#This Row],[Technical Knowledge]:[Repeat job nahin aana]])/6</f>
        <v>0</v>
      </c>
      <c r="L1258" s="79" t="str">
        <f>IFERROR(AVERAGEIFS(Table1[Final Score],Table1[Month],Table1[[#This Row],[Month]],Table1[Year],Table1[[#This Row],[Year]],Table1[Mechanic Name],Table1[[#This Row],[Mechanic Name]]),"")</f>
        <v/>
      </c>
    </row>
    <row r="1259" spans="3:12" hidden="1" x14ac:dyDescent="0.35">
      <c r="C1259" s="80"/>
      <c r="K1259" s="81">
        <f>SUM(Table1[[#This Row],[Technical Knowledge]:[Repeat job nahin aana]])/6</f>
        <v>0</v>
      </c>
      <c r="L1259" s="79" t="str">
        <f>IFERROR(AVERAGEIFS(Table1[Final Score],Table1[Month],Table1[[#This Row],[Month]],Table1[Year],Table1[[#This Row],[Year]],Table1[Mechanic Name],Table1[[#This Row],[Mechanic Name]]),"")</f>
        <v/>
      </c>
    </row>
    <row r="1260" spans="3:12" hidden="1" x14ac:dyDescent="0.35">
      <c r="C1260" s="80"/>
      <c r="K1260" s="81">
        <f>SUM(Table1[[#This Row],[Technical Knowledge]:[Repeat job nahin aana]])/6</f>
        <v>0</v>
      </c>
      <c r="L1260" s="79" t="str">
        <f>IFERROR(AVERAGEIFS(Table1[Final Score],Table1[Month],Table1[[#This Row],[Month]],Table1[Year],Table1[[#This Row],[Year]],Table1[Mechanic Name],Table1[[#This Row],[Mechanic Name]]),"")</f>
        <v/>
      </c>
    </row>
    <row r="1261" spans="3:12" hidden="1" x14ac:dyDescent="0.35">
      <c r="C1261" s="80"/>
      <c r="K1261" s="81">
        <f>SUM(Table1[[#This Row],[Technical Knowledge]:[Repeat job nahin aana]])/6</f>
        <v>0</v>
      </c>
      <c r="L1261" s="79" t="str">
        <f>IFERROR(AVERAGEIFS(Table1[Final Score],Table1[Month],Table1[[#This Row],[Month]],Table1[Year],Table1[[#This Row],[Year]],Table1[Mechanic Name],Table1[[#This Row],[Mechanic Name]]),"")</f>
        <v/>
      </c>
    </row>
    <row r="1262" spans="3:12" hidden="1" x14ac:dyDescent="0.35">
      <c r="C1262" s="80"/>
      <c r="K1262" s="81">
        <f>SUM(Table1[[#This Row],[Technical Knowledge]:[Repeat job nahin aana]])/6</f>
        <v>0</v>
      </c>
      <c r="L1262" s="79" t="str">
        <f>IFERROR(AVERAGEIFS(Table1[Final Score],Table1[Month],Table1[[#This Row],[Month]],Table1[Year],Table1[[#This Row],[Year]],Table1[Mechanic Name],Table1[[#This Row],[Mechanic Name]]),"")</f>
        <v/>
      </c>
    </row>
    <row r="1263" spans="3:12" hidden="1" x14ac:dyDescent="0.35">
      <c r="C1263" s="80"/>
      <c r="K1263" s="81">
        <f>SUM(Table1[[#This Row],[Technical Knowledge]:[Repeat job nahin aana]])/6</f>
        <v>0</v>
      </c>
      <c r="L1263" s="79" t="str">
        <f>IFERROR(AVERAGEIFS(Table1[Final Score],Table1[Month],Table1[[#This Row],[Month]],Table1[Year],Table1[[#This Row],[Year]],Table1[Mechanic Name],Table1[[#This Row],[Mechanic Name]]),"")</f>
        <v/>
      </c>
    </row>
    <row r="1264" spans="3:12" hidden="1" x14ac:dyDescent="0.35">
      <c r="C1264" s="80"/>
      <c r="K1264" s="81">
        <f>SUM(Table1[[#This Row],[Technical Knowledge]:[Repeat job nahin aana]])/6</f>
        <v>0</v>
      </c>
      <c r="L1264" s="79" t="str">
        <f>IFERROR(AVERAGEIFS(Table1[Final Score],Table1[Month],Table1[[#This Row],[Month]],Table1[Year],Table1[[#This Row],[Year]],Table1[Mechanic Name],Table1[[#This Row],[Mechanic Name]]),"")</f>
        <v/>
      </c>
    </row>
    <row r="1265" spans="3:12" hidden="1" x14ac:dyDescent="0.35">
      <c r="C1265" s="80"/>
      <c r="K1265" s="81">
        <f>SUM(Table1[[#This Row],[Technical Knowledge]:[Repeat job nahin aana]])/6</f>
        <v>0</v>
      </c>
      <c r="L1265" s="79" t="str">
        <f>IFERROR(AVERAGEIFS(Table1[Final Score],Table1[Month],Table1[[#This Row],[Month]],Table1[Year],Table1[[#This Row],[Year]],Table1[Mechanic Name],Table1[[#This Row],[Mechanic Name]]),"")</f>
        <v/>
      </c>
    </row>
    <row r="1266" spans="3:12" hidden="1" x14ac:dyDescent="0.35">
      <c r="C1266" s="80"/>
      <c r="K1266" s="81">
        <f>SUM(Table1[[#This Row],[Technical Knowledge]:[Repeat job nahin aana]])/6</f>
        <v>0</v>
      </c>
      <c r="L1266" s="79" t="str">
        <f>IFERROR(AVERAGEIFS(Table1[Final Score],Table1[Month],Table1[[#This Row],[Month]],Table1[Year],Table1[[#This Row],[Year]],Table1[Mechanic Name],Table1[[#This Row],[Mechanic Name]]),"")</f>
        <v/>
      </c>
    </row>
    <row r="1267" spans="3:12" hidden="1" x14ac:dyDescent="0.35">
      <c r="C1267" s="80"/>
      <c r="K1267" s="81">
        <f>SUM(Table1[[#This Row],[Technical Knowledge]:[Repeat job nahin aana]])/6</f>
        <v>0</v>
      </c>
      <c r="L1267" s="79" t="str">
        <f>IFERROR(AVERAGEIFS(Table1[Final Score],Table1[Month],Table1[[#This Row],[Month]],Table1[Year],Table1[[#This Row],[Year]],Table1[Mechanic Name],Table1[[#This Row],[Mechanic Name]]),"")</f>
        <v/>
      </c>
    </row>
    <row r="1268" spans="3:12" hidden="1" x14ac:dyDescent="0.35">
      <c r="C1268" s="80"/>
      <c r="K1268" s="81">
        <f>SUM(Table1[[#This Row],[Technical Knowledge]:[Repeat job nahin aana]])/6</f>
        <v>0</v>
      </c>
      <c r="L1268" s="79" t="str">
        <f>IFERROR(AVERAGEIFS(Table1[Final Score],Table1[Month],Table1[[#This Row],[Month]],Table1[Year],Table1[[#This Row],[Year]],Table1[Mechanic Name],Table1[[#This Row],[Mechanic Name]]),"")</f>
        <v/>
      </c>
    </row>
    <row r="1269" spans="3:12" hidden="1" x14ac:dyDescent="0.35">
      <c r="C1269" s="80"/>
      <c r="K1269" s="81">
        <f>SUM(Table1[[#This Row],[Technical Knowledge]:[Repeat job nahin aana]])/6</f>
        <v>0</v>
      </c>
      <c r="L1269" s="79" t="str">
        <f>IFERROR(AVERAGEIFS(Table1[Final Score],Table1[Month],Table1[[#This Row],[Month]],Table1[Year],Table1[[#This Row],[Year]],Table1[Mechanic Name],Table1[[#This Row],[Mechanic Name]]),"")</f>
        <v/>
      </c>
    </row>
    <row r="1270" spans="3:12" hidden="1" x14ac:dyDescent="0.35">
      <c r="C1270" s="80"/>
      <c r="K1270" s="81">
        <f>SUM(Table1[[#This Row],[Technical Knowledge]:[Repeat job nahin aana]])/6</f>
        <v>0</v>
      </c>
      <c r="L1270" s="79" t="str">
        <f>IFERROR(AVERAGEIFS(Table1[Final Score],Table1[Month],Table1[[#This Row],[Month]],Table1[Year],Table1[[#This Row],[Year]],Table1[Mechanic Name],Table1[[#This Row],[Mechanic Name]]),"")</f>
        <v/>
      </c>
    </row>
    <row r="1271" spans="3:12" hidden="1" x14ac:dyDescent="0.35">
      <c r="C1271" s="80"/>
      <c r="K1271" s="81">
        <f>SUM(Table1[[#This Row],[Technical Knowledge]:[Repeat job nahin aana]])/6</f>
        <v>0</v>
      </c>
      <c r="L1271" s="79" t="str">
        <f>IFERROR(AVERAGEIFS(Table1[Final Score],Table1[Month],Table1[[#This Row],[Month]],Table1[Year],Table1[[#This Row],[Year]],Table1[Mechanic Name],Table1[[#This Row],[Mechanic Name]]),"")</f>
        <v/>
      </c>
    </row>
    <row r="1272" spans="3:12" hidden="1" x14ac:dyDescent="0.35">
      <c r="C1272" s="80"/>
      <c r="K1272" s="81">
        <f>SUM(Table1[[#This Row],[Technical Knowledge]:[Repeat job nahin aana]])/6</f>
        <v>0</v>
      </c>
      <c r="L1272" s="79" t="str">
        <f>IFERROR(AVERAGEIFS(Table1[Final Score],Table1[Month],Table1[[#This Row],[Month]],Table1[Year],Table1[[#This Row],[Year]],Table1[Mechanic Name],Table1[[#This Row],[Mechanic Name]]),"")</f>
        <v/>
      </c>
    </row>
    <row r="1273" spans="3:12" hidden="1" x14ac:dyDescent="0.35">
      <c r="C1273" s="80"/>
      <c r="K1273" s="81">
        <f>SUM(Table1[[#This Row],[Technical Knowledge]:[Repeat job nahin aana]])/6</f>
        <v>0</v>
      </c>
      <c r="L1273" s="79" t="str">
        <f>IFERROR(AVERAGEIFS(Table1[Final Score],Table1[Month],Table1[[#This Row],[Month]],Table1[Year],Table1[[#This Row],[Year]],Table1[Mechanic Name],Table1[[#This Row],[Mechanic Name]]),"")</f>
        <v/>
      </c>
    </row>
    <row r="1274" spans="3:12" hidden="1" x14ac:dyDescent="0.35">
      <c r="C1274" s="80"/>
      <c r="K1274" s="81">
        <f>SUM(Table1[[#This Row],[Technical Knowledge]:[Repeat job nahin aana]])/6</f>
        <v>0</v>
      </c>
      <c r="L1274" s="79" t="str">
        <f>IFERROR(AVERAGEIFS(Table1[Final Score],Table1[Month],Table1[[#This Row],[Month]],Table1[Year],Table1[[#This Row],[Year]],Table1[Mechanic Name],Table1[[#This Row],[Mechanic Name]]),"")</f>
        <v/>
      </c>
    </row>
    <row r="1275" spans="3:12" hidden="1" x14ac:dyDescent="0.35">
      <c r="C1275" s="80"/>
      <c r="K1275" s="81">
        <f>SUM(Table1[[#This Row],[Technical Knowledge]:[Repeat job nahin aana]])/6</f>
        <v>0</v>
      </c>
      <c r="L1275" s="79" t="str">
        <f>IFERROR(AVERAGEIFS(Table1[Final Score],Table1[Month],Table1[[#This Row],[Month]],Table1[Year],Table1[[#This Row],[Year]],Table1[Mechanic Name],Table1[[#This Row],[Mechanic Name]]),"")</f>
        <v/>
      </c>
    </row>
    <row r="1276" spans="3:12" hidden="1" x14ac:dyDescent="0.35">
      <c r="C1276" s="80"/>
      <c r="K1276" s="81">
        <f>SUM(Table1[[#This Row],[Technical Knowledge]:[Repeat job nahin aana]])/6</f>
        <v>0</v>
      </c>
      <c r="L1276" s="79" t="str">
        <f>IFERROR(AVERAGEIFS(Table1[Final Score],Table1[Month],Table1[[#This Row],[Month]],Table1[Year],Table1[[#This Row],[Year]],Table1[Mechanic Name],Table1[[#This Row],[Mechanic Name]]),"")</f>
        <v/>
      </c>
    </row>
    <row r="1277" spans="3:12" hidden="1" x14ac:dyDescent="0.35">
      <c r="C1277" s="80"/>
      <c r="K1277" s="81">
        <f>SUM(Table1[[#This Row],[Technical Knowledge]:[Repeat job nahin aana]])/6</f>
        <v>0</v>
      </c>
      <c r="L1277" s="79" t="str">
        <f>IFERROR(AVERAGEIFS(Table1[Final Score],Table1[Month],Table1[[#This Row],[Month]],Table1[Year],Table1[[#This Row],[Year]],Table1[Mechanic Name],Table1[[#This Row],[Mechanic Name]]),"")</f>
        <v/>
      </c>
    </row>
    <row r="1278" spans="3:12" hidden="1" x14ac:dyDescent="0.35">
      <c r="C1278" s="80"/>
      <c r="K1278" s="81">
        <f>SUM(Table1[[#This Row],[Technical Knowledge]:[Repeat job nahin aana]])/6</f>
        <v>0</v>
      </c>
      <c r="L1278" s="79" t="str">
        <f>IFERROR(AVERAGEIFS(Table1[Final Score],Table1[Month],Table1[[#This Row],[Month]],Table1[Year],Table1[[#This Row],[Year]],Table1[Mechanic Name],Table1[[#This Row],[Mechanic Name]]),"")</f>
        <v/>
      </c>
    </row>
    <row r="1279" spans="3:12" hidden="1" x14ac:dyDescent="0.35">
      <c r="C1279" s="80"/>
      <c r="K1279" s="81">
        <f>SUM(Table1[[#This Row],[Technical Knowledge]:[Repeat job nahin aana]])/6</f>
        <v>0</v>
      </c>
      <c r="L1279" s="79" t="str">
        <f>IFERROR(AVERAGEIFS(Table1[Final Score],Table1[Month],Table1[[#This Row],[Month]],Table1[Year],Table1[[#This Row],[Year]],Table1[Mechanic Name],Table1[[#This Row],[Mechanic Name]]),"")</f>
        <v/>
      </c>
    </row>
    <row r="1280" spans="3:12" hidden="1" x14ac:dyDescent="0.35">
      <c r="C1280" s="80"/>
      <c r="K1280" s="81">
        <f>SUM(Table1[[#This Row],[Technical Knowledge]:[Repeat job nahin aana]])/6</f>
        <v>0</v>
      </c>
      <c r="L1280" s="79" t="str">
        <f>IFERROR(AVERAGEIFS(Table1[Final Score],Table1[Month],Table1[[#This Row],[Month]],Table1[Year],Table1[[#This Row],[Year]],Table1[Mechanic Name],Table1[[#This Row],[Mechanic Name]]),"")</f>
        <v/>
      </c>
    </row>
    <row r="1281" spans="3:12" hidden="1" x14ac:dyDescent="0.35">
      <c r="C1281" s="80"/>
      <c r="K1281" s="81">
        <f>SUM(Table1[[#This Row],[Technical Knowledge]:[Repeat job nahin aana]])/6</f>
        <v>0</v>
      </c>
      <c r="L1281" s="79" t="str">
        <f>IFERROR(AVERAGEIFS(Table1[Final Score],Table1[Month],Table1[[#This Row],[Month]],Table1[Year],Table1[[#This Row],[Year]],Table1[Mechanic Name],Table1[[#This Row],[Mechanic Name]]),"")</f>
        <v/>
      </c>
    </row>
    <row r="1282" spans="3:12" hidden="1" x14ac:dyDescent="0.35">
      <c r="C1282" s="80"/>
      <c r="K1282" s="81">
        <f>SUM(Table1[[#This Row],[Technical Knowledge]:[Repeat job nahin aana]])/6</f>
        <v>0</v>
      </c>
      <c r="L1282" s="79" t="str">
        <f>IFERROR(AVERAGEIFS(Table1[Final Score],Table1[Month],Table1[[#This Row],[Month]],Table1[Year],Table1[[#This Row],[Year]],Table1[Mechanic Name],Table1[[#This Row],[Mechanic Name]]),"")</f>
        <v/>
      </c>
    </row>
    <row r="1283" spans="3:12" hidden="1" x14ac:dyDescent="0.35">
      <c r="C1283" s="80"/>
      <c r="K1283" s="81">
        <f>SUM(Table1[[#This Row],[Technical Knowledge]:[Repeat job nahin aana]])/6</f>
        <v>0</v>
      </c>
      <c r="L1283" s="79" t="str">
        <f>IFERROR(AVERAGEIFS(Table1[Final Score],Table1[Month],Table1[[#This Row],[Month]],Table1[Year],Table1[[#This Row],[Year]],Table1[Mechanic Name],Table1[[#This Row],[Mechanic Name]]),"")</f>
        <v/>
      </c>
    </row>
    <row r="1284" spans="3:12" hidden="1" x14ac:dyDescent="0.35">
      <c r="C1284" s="80"/>
      <c r="K1284" s="81">
        <f>SUM(Table1[[#This Row],[Technical Knowledge]:[Repeat job nahin aana]])/6</f>
        <v>0</v>
      </c>
      <c r="L1284" s="79" t="str">
        <f>IFERROR(AVERAGEIFS(Table1[Final Score],Table1[Month],Table1[[#This Row],[Month]],Table1[Year],Table1[[#This Row],[Year]],Table1[Mechanic Name],Table1[[#This Row],[Mechanic Name]]),"")</f>
        <v/>
      </c>
    </row>
    <row r="1285" spans="3:12" hidden="1" x14ac:dyDescent="0.35">
      <c r="C1285" s="80"/>
      <c r="K1285" s="81">
        <f>SUM(Table1[[#This Row],[Technical Knowledge]:[Repeat job nahin aana]])/6</f>
        <v>0</v>
      </c>
      <c r="L1285" s="79" t="str">
        <f>IFERROR(AVERAGEIFS(Table1[Final Score],Table1[Month],Table1[[#This Row],[Month]],Table1[Year],Table1[[#This Row],[Year]],Table1[Mechanic Name],Table1[[#This Row],[Mechanic Name]]),"")</f>
        <v/>
      </c>
    </row>
    <row r="1286" spans="3:12" hidden="1" x14ac:dyDescent="0.35">
      <c r="C1286" s="80"/>
      <c r="K1286" s="81">
        <f>SUM(Table1[[#This Row],[Technical Knowledge]:[Repeat job nahin aana]])/6</f>
        <v>0</v>
      </c>
      <c r="L1286" s="79" t="str">
        <f>IFERROR(AVERAGEIFS(Table1[Final Score],Table1[Month],Table1[[#This Row],[Month]],Table1[Year],Table1[[#This Row],[Year]],Table1[Mechanic Name],Table1[[#This Row],[Mechanic Name]]),"")</f>
        <v/>
      </c>
    </row>
    <row r="1287" spans="3:12" hidden="1" x14ac:dyDescent="0.35">
      <c r="C1287" s="80"/>
      <c r="K1287" s="81">
        <f>SUM(Table1[[#This Row],[Technical Knowledge]:[Repeat job nahin aana]])/6</f>
        <v>0</v>
      </c>
      <c r="L1287" s="79" t="str">
        <f>IFERROR(AVERAGEIFS(Table1[Final Score],Table1[Month],Table1[[#This Row],[Month]],Table1[Year],Table1[[#This Row],[Year]],Table1[Mechanic Name],Table1[[#This Row],[Mechanic Name]]),"")</f>
        <v/>
      </c>
    </row>
    <row r="1288" spans="3:12" hidden="1" x14ac:dyDescent="0.35">
      <c r="C1288" s="80"/>
      <c r="K1288" s="81">
        <f>SUM(Table1[[#This Row],[Technical Knowledge]:[Repeat job nahin aana]])/6</f>
        <v>0</v>
      </c>
      <c r="L1288" s="79" t="str">
        <f>IFERROR(AVERAGEIFS(Table1[Final Score],Table1[Month],Table1[[#This Row],[Month]],Table1[Year],Table1[[#This Row],[Year]],Table1[Mechanic Name],Table1[[#This Row],[Mechanic Name]]),"")</f>
        <v/>
      </c>
    </row>
    <row r="1289" spans="3:12" hidden="1" x14ac:dyDescent="0.35">
      <c r="C1289" s="80"/>
      <c r="K1289" s="81">
        <f>SUM(Table1[[#This Row],[Technical Knowledge]:[Repeat job nahin aana]])/6</f>
        <v>0</v>
      </c>
      <c r="L1289" s="79" t="str">
        <f>IFERROR(AVERAGEIFS(Table1[Final Score],Table1[Month],Table1[[#This Row],[Month]],Table1[Year],Table1[[#This Row],[Year]],Table1[Mechanic Name],Table1[[#This Row],[Mechanic Name]]),"")</f>
        <v/>
      </c>
    </row>
    <row r="1290" spans="3:12" hidden="1" x14ac:dyDescent="0.35">
      <c r="C1290" s="80"/>
      <c r="K1290" s="81">
        <f>SUM(Table1[[#This Row],[Technical Knowledge]:[Repeat job nahin aana]])/6</f>
        <v>0</v>
      </c>
      <c r="L1290" s="79" t="str">
        <f>IFERROR(AVERAGEIFS(Table1[Final Score],Table1[Month],Table1[[#This Row],[Month]],Table1[Year],Table1[[#This Row],[Year]],Table1[Mechanic Name],Table1[[#This Row],[Mechanic Name]]),"")</f>
        <v/>
      </c>
    </row>
    <row r="1291" spans="3:12" hidden="1" x14ac:dyDescent="0.35">
      <c r="C1291" s="80"/>
      <c r="K1291" s="81">
        <f>SUM(Table1[[#This Row],[Technical Knowledge]:[Repeat job nahin aana]])/6</f>
        <v>0</v>
      </c>
      <c r="L1291" s="79" t="str">
        <f>IFERROR(AVERAGEIFS(Table1[Final Score],Table1[Month],Table1[[#This Row],[Month]],Table1[Year],Table1[[#This Row],[Year]],Table1[Mechanic Name],Table1[[#This Row],[Mechanic Name]]),"")</f>
        <v/>
      </c>
    </row>
    <row r="1292" spans="3:12" hidden="1" x14ac:dyDescent="0.35">
      <c r="C1292" s="80"/>
      <c r="K1292" s="81">
        <f>SUM(Table1[[#This Row],[Technical Knowledge]:[Repeat job nahin aana]])/6</f>
        <v>0</v>
      </c>
      <c r="L1292" s="79" t="str">
        <f>IFERROR(AVERAGEIFS(Table1[Final Score],Table1[Month],Table1[[#This Row],[Month]],Table1[Year],Table1[[#This Row],[Year]],Table1[Mechanic Name],Table1[[#This Row],[Mechanic Name]]),"")</f>
        <v/>
      </c>
    </row>
    <row r="1293" spans="3:12" hidden="1" x14ac:dyDescent="0.35">
      <c r="C1293" s="80"/>
      <c r="K1293" s="81">
        <f>SUM(Table1[[#This Row],[Technical Knowledge]:[Repeat job nahin aana]])/6</f>
        <v>0</v>
      </c>
      <c r="L1293" s="79" t="str">
        <f>IFERROR(AVERAGEIFS(Table1[Final Score],Table1[Month],Table1[[#This Row],[Month]],Table1[Year],Table1[[#This Row],[Year]],Table1[Mechanic Name],Table1[[#This Row],[Mechanic Name]]),"")</f>
        <v/>
      </c>
    </row>
    <row r="1294" spans="3:12" hidden="1" x14ac:dyDescent="0.35">
      <c r="C1294" s="80"/>
      <c r="K1294" s="81">
        <f>SUM(Table1[[#This Row],[Technical Knowledge]:[Repeat job nahin aana]])/6</f>
        <v>0</v>
      </c>
      <c r="L1294" s="79" t="str">
        <f>IFERROR(AVERAGEIFS(Table1[Final Score],Table1[Month],Table1[[#This Row],[Month]],Table1[Year],Table1[[#This Row],[Year]],Table1[Mechanic Name],Table1[[#This Row],[Mechanic Name]]),"")</f>
        <v/>
      </c>
    </row>
    <row r="1295" spans="3:12" hidden="1" x14ac:dyDescent="0.35">
      <c r="C1295" s="80"/>
      <c r="K1295" s="81">
        <f>SUM(Table1[[#This Row],[Technical Knowledge]:[Repeat job nahin aana]])/6</f>
        <v>0</v>
      </c>
      <c r="L1295" s="79" t="str">
        <f>IFERROR(AVERAGEIFS(Table1[Final Score],Table1[Month],Table1[[#This Row],[Month]],Table1[Year],Table1[[#This Row],[Year]],Table1[Mechanic Name],Table1[[#This Row],[Mechanic Name]]),"")</f>
        <v/>
      </c>
    </row>
    <row r="1296" spans="3:12" hidden="1" x14ac:dyDescent="0.35">
      <c r="C1296" s="80"/>
      <c r="K1296" s="81">
        <f>SUM(Table1[[#This Row],[Technical Knowledge]:[Repeat job nahin aana]])/6</f>
        <v>0</v>
      </c>
      <c r="L1296" s="79" t="str">
        <f>IFERROR(AVERAGEIFS(Table1[Final Score],Table1[Month],Table1[[#This Row],[Month]],Table1[Year],Table1[[#This Row],[Year]],Table1[Mechanic Name],Table1[[#This Row],[Mechanic Name]]),"")</f>
        <v/>
      </c>
    </row>
    <row r="1297" spans="3:12" hidden="1" x14ac:dyDescent="0.35">
      <c r="C1297" s="80"/>
      <c r="K1297" s="81">
        <f>SUM(Table1[[#This Row],[Technical Knowledge]:[Repeat job nahin aana]])/6</f>
        <v>0</v>
      </c>
      <c r="L1297" s="79" t="str">
        <f>IFERROR(AVERAGEIFS(Table1[Final Score],Table1[Month],Table1[[#This Row],[Month]],Table1[Year],Table1[[#This Row],[Year]],Table1[Mechanic Name],Table1[[#This Row],[Mechanic Name]]),"")</f>
        <v/>
      </c>
    </row>
    <row r="1298" spans="3:12" hidden="1" x14ac:dyDescent="0.35">
      <c r="C1298" s="80"/>
      <c r="K1298" s="81">
        <f>SUM(Table1[[#This Row],[Technical Knowledge]:[Repeat job nahin aana]])/6</f>
        <v>0</v>
      </c>
      <c r="L1298" s="79" t="str">
        <f>IFERROR(AVERAGEIFS(Table1[Final Score],Table1[Month],Table1[[#This Row],[Month]],Table1[Year],Table1[[#This Row],[Year]],Table1[Mechanic Name],Table1[[#This Row],[Mechanic Name]]),"")</f>
        <v/>
      </c>
    </row>
    <row r="1299" spans="3:12" hidden="1" x14ac:dyDescent="0.35">
      <c r="C1299" s="80"/>
      <c r="K1299" s="81">
        <f>SUM(Table1[[#This Row],[Technical Knowledge]:[Repeat job nahin aana]])/6</f>
        <v>0</v>
      </c>
      <c r="L1299" s="79" t="str">
        <f>IFERROR(AVERAGEIFS(Table1[Final Score],Table1[Month],Table1[[#This Row],[Month]],Table1[Year],Table1[[#This Row],[Year]],Table1[Mechanic Name],Table1[[#This Row],[Mechanic Name]]),"")</f>
        <v/>
      </c>
    </row>
    <row r="1300" spans="3:12" hidden="1" x14ac:dyDescent="0.35">
      <c r="C1300" s="80"/>
      <c r="K1300" s="81">
        <f>SUM(Table1[[#This Row],[Technical Knowledge]:[Repeat job nahin aana]])/6</f>
        <v>0</v>
      </c>
      <c r="L1300" s="79" t="str">
        <f>IFERROR(AVERAGEIFS(Table1[Final Score],Table1[Month],Table1[[#This Row],[Month]],Table1[Year],Table1[[#This Row],[Year]],Table1[Mechanic Name],Table1[[#This Row],[Mechanic Name]]),"")</f>
        <v/>
      </c>
    </row>
    <row r="1301" spans="3:12" hidden="1" x14ac:dyDescent="0.35">
      <c r="C1301" s="80"/>
      <c r="K1301" s="81">
        <f>SUM(Table1[[#This Row],[Technical Knowledge]:[Repeat job nahin aana]])/6</f>
        <v>0</v>
      </c>
      <c r="L1301" s="79" t="str">
        <f>IFERROR(AVERAGEIFS(Table1[Final Score],Table1[Month],Table1[[#This Row],[Month]],Table1[Year],Table1[[#This Row],[Year]],Table1[Mechanic Name],Table1[[#This Row],[Mechanic Name]]),"")</f>
        <v/>
      </c>
    </row>
    <row r="1302" spans="3:12" hidden="1" x14ac:dyDescent="0.35">
      <c r="C1302" s="80"/>
      <c r="K1302" s="81">
        <f>SUM(Table1[[#This Row],[Technical Knowledge]:[Repeat job nahin aana]])/6</f>
        <v>0</v>
      </c>
      <c r="L1302" s="79" t="str">
        <f>IFERROR(AVERAGEIFS(Table1[Final Score],Table1[Month],Table1[[#This Row],[Month]],Table1[Year],Table1[[#This Row],[Year]],Table1[Mechanic Name],Table1[[#This Row],[Mechanic Name]]),"")</f>
        <v/>
      </c>
    </row>
    <row r="1303" spans="3:12" hidden="1" x14ac:dyDescent="0.35">
      <c r="C1303" s="80"/>
      <c r="K1303" s="81">
        <f>SUM(Table1[[#This Row],[Technical Knowledge]:[Repeat job nahin aana]])/6</f>
        <v>0</v>
      </c>
      <c r="L1303" s="79" t="str">
        <f>IFERROR(AVERAGEIFS(Table1[Final Score],Table1[Month],Table1[[#This Row],[Month]],Table1[Year],Table1[[#This Row],[Year]],Table1[Mechanic Name],Table1[[#This Row],[Mechanic Name]]),"")</f>
        <v/>
      </c>
    </row>
    <row r="1304" spans="3:12" hidden="1" x14ac:dyDescent="0.35">
      <c r="C1304" s="80"/>
      <c r="K1304" s="81">
        <f>SUM(Table1[[#This Row],[Technical Knowledge]:[Repeat job nahin aana]])/6</f>
        <v>0</v>
      </c>
      <c r="L1304" s="79" t="str">
        <f>IFERROR(AVERAGEIFS(Table1[Final Score],Table1[Month],Table1[[#This Row],[Month]],Table1[Year],Table1[[#This Row],[Year]],Table1[Mechanic Name],Table1[[#This Row],[Mechanic Name]]),"")</f>
        <v/>
      </c>
    </row>
    <row r="1305" spans="3:12" hidden="1" x14ac:dyDescent="0.35">
      <c r="C1305" s="80"/>
      <c r="K1305" s="81">
        <f>SUM(Table1[[#This Row],[Technical Knowledge]:[Repeat job nahin aana]])/6</f>
        <v>0</v>
      </c>
      <c r="L1305" s="79" t="str">
        <f>IFERROR(AVERAGEIFS(Table1[Final Score],Table1[Month],Table1[[#This Row],[Month]],Table1[Year],Table1[[#This Row],[Year]],Table1[Mechanic Name],Table1[[#This Row],[Mechanic Name]]),"")</f>
        <v/>
      </c>
    </row>
    <row r="1306" spans="3:12" hidden="1" x14ac:dyDescent="0.35">
      <c r="C1306" s="80"/>
      <c r="K1306" s="81">
        <f>SUM(Table1[[#This Row],[Technical Knowledge]:[Repeat job nahin aana]])/6</f>
        <v>0</v>
      </c>
      <c r="L1306" s="79" t="str">
        <f>IFERROR(AVERAGEIFS(Table1[Final Score],Table1[Month],Table1[[#This Row],[Month]],Table1[Year],Table1[[#This Row],[Year]],Table1[Mechanic Name],Table1[[#This Row],[Mechanic Name]]),"")</f>
        <v/>
      </c>
    </row>
    <row r="1307" spans="3:12" hidden="1" x14ac:dyDescent="0.35">
      <c r="C1307" s="80"/>
      <c r="K1307" s="81">
        <f>SUM(Table1[[#This Row],[Technical Knowledge]:[Repeat job nahin aana]])/6</f>
        <v>0</v>
      </c>
      <c r="L1307" s="79" t="str">
        <f>IFERROR(AVERAGEIFS(Table1[Final Score],Table1[Month],Table1[[#This Row],[Month]],Table1[Year],Table1[[#This Row],[Year]],Table1[Mechanic Name],Table1[[#This Row],[Mechanic Name]]),"")</f>
        <v/>
      </c>
    </row>
    <row r="1308" spans="3:12" hidden="1" x14ac:dyDescent="0.35">
      <c r="C1308" s="80"/>
      <c r="K1308" s="81">
        <f>SUM(Table1[[#This Row],[Technical Knowledge]:[Repeat job nahin aana]])/6</f>
        <v>0</v>
      </c>
      <c r="L1308" s="79" t="str">
        <f>IFERROR(AVERAGEIFS(Table1[Final Score],Table1[Month],Table1[[#This Row],[Month]],Table1[Year],Table1[[#This Row],[Year]],Table1[Mechanic Name],Table1[[#This Row],[Mechanic Name]]),"")</f>
        <v/>
      </c>
    </row>
    <row r="1309" spans="3:12" hidden="1" x14ac:dyDescent="0.35">
      <c r="C1309" s="80"/>
      <c r="K1309" s="81">
        <f>SUM(Table1[[#This Row],[Technical Knowledge]:[Repeat job nahin aana]])/6</f>
        <v>0</v>
      </c>
      <c r="L1309" s="79" t="str">
        <f>IFERROR(AVERAGEIFS(Table1[Final Score],Table1[Month],Table1[[#This Row],[Month]],Table1[Year],Table1[[#This Row],[Year]],Table1[Mechanic Name],Table1[[#This Row],[Mechanic Name]]),"")</f>
        <v/>
      </c>
    </row>
    <row r="1310" spans="3:12" hidden="1" x14ac:dyDescent="0.35">
      <c r="C1310" s="80"/>
      <c r="K1310" s="81">
        <f>SUM(Table1[[#This Row],[Technical Knowledge]:[Repeat job nahin aana]])/6</f>
        <v>0</v>
      </c>
      <c r="L1310" s="79" t="str">
        <f>IFERROR(AVERAGEIFS(Table1[Final Score],Table1[Month],Table1[[#This Row],[Month]],Table1[Year],Table1[[#This Row],[Year]],Table1[Mechanic Name],Table1[[#This Row],[Mechanic Name]]),"")</f>
        <v/>
      </c>
    </row>
    <row r="1311" spans="3:12" hidden="1" x14ac:dyDescent="0.35">
      <c r="C1311" s="80"/>
      <c r="K1311" s="81">
        <f>SUM(Table1[[#This Row],[Technical Knowledge]:[Repeat job nahin aana]])/6</f>
        <v>0</v>
      </c>
      <c r="L1311" s="79" t="str">
        <f>IFERROR(AVERAGEIFS(Table1[Final Score],Table1[Month],Table1[[#This Row],[Month]],Table1[Year],Table1[[#This Row],[Year]],Table1[Mechanic Name],Table1[[#This Row],[Mechanic Name]]),"")</f>
        <v/>
      </c>
    </row>
    <row r="1312" spans="3:12" hidden="1" x14ac:dyDescent="0.35">
      <c r="C1312" s="80"/>
      <c r="K1312" s="81">
        <f>SUM(Table1[[#This Row],[Technical Knowledge]:[Repeat job nahin aana]])/6</f>
        <v>0</v>
      </c>
      <c r="L1312" s="79" t="str">
        <f>IFERROR(AVERAGEIFS(Table1[Final Score],Table1[Month],Table1[[#This Row],[Month]],Table1[Year],Table1[[#This Row],[Year]],Table1[Mechanic Name],Table1[[#This Row],[Mechanic Name]]),"")</f>
        <v/>
      </c>
    </row>
    <row r="1313" spans="3:12" hidden="1" x14ac:dyDescent="0.35">
      <c r="C1313" s="80"/>
      <c r="K1313" s="81">
        <f>SUM(Table1[[#This Row],[Technical Knowledge]:[Repeat job nahin aana]])/6</f>
        <v>0</v>
      </c>
      <c r="L1313" s="79" t="str">
        <f>IFERROR(AVERAGEIFS(Table1[Final Score],Table1[Month],Table1[[#This Row],[Month]],Table1[Year],Table1[[#This Row],[Year]],Table1[Mechanic Name],Table1[[#This Row],[Mechanic Name]]),"")</f>
        <v/>
      </c>
    </row>
    <row r="1314" spans="3:12" hidden="1" x14ac:dyDescent="0.35">
      <c r="C1314" s="80"/>
      <c r="K1314" s="81">
        <f>SUM(Table1[[#This Row],[Technical Knowledge]:[Repeat job nahin aana]])/6</f>
        <v>0</v>
      </c>
      <c r="L1314" s="79" t="str">
        <f>IFERROR(AVERAGEIFS(Table1[Final Score],Table1[Month],Table1[[#This Row],[Month]],Table1[Year],Table1[[#This Row],[Year]],Table1[Mechanic Name],Table1[[#This Row],[Mechanic Name]]),"")</f>
        <v/>
      </c>
    </row>
    <row r="1315" spans="3:12" hidden="1" x14ac:dyDescent="0.35">
      <c r="C1315" s="80"/>
      <c r="K1315" s="81">
        <f>SUM(Table1[[#This Row],[Technical Knowledge]:[Repeat job nahin aana]])/6</f>
        <v>0</v>
      </c>
      <c r="L1315" s="79" t="str">
        <f>IFERROR(AVERAGEIFS(Table1[Final Score],Table1[Month],Table1[[#This Row],[Month]],Table1[Year],Table1[[#This Row],[Year]],Table1[Mechanic Name],Table1[[#This Row],[Mechanic Name]]),"")</f>
        <v/>
      </c>
    </row>
    <row r="1316" spans="3:12" hidden="1" x14ac:dyDescent="0.35">
      <c r="C1316" s="80"/>
      <c r="K1316" s="81">
        <f>SUM(Table1[[#This Row],[Technical Knowledge]:[Repeat job nahin aana]])/6</f>
        <v>0</v>
      </c>
      <c r="L1316" s="79" t="str">
        <f>IFERROR(AVERAGEIFS(Table1[Final Score],Table1[Month],Table1[[#This Row],[Month]],Table1[Year],Table1[[#This Row],[Year]],Table1[Mechanic Name],Table1[[#This Row],[Mechanic Name]]),"")</f>
        <v/>
      </c>
    </row>
    <row r="1317" spans="3:12" hidden="1" x14ac:dyDescent="0.35">
      <c r="C1317" s="80"/>
      <c r="K1317" s="81">
        <f>SUM(Table1[[#This Row],[Technical Knowledge]:[Repeat job nahin aana]])/6</f>
        <v>0</v>
      </c>
      <c r="L1317" s="79" t="str">
        <f>IFERROR(AVERAGEIFS(Table1[Final Score],Table1[Month],Table1[[#This Row],[Month]],Table1[Year],Table1[[#This Row],[Year]],Table1[Mechanic Name],Table1[[#This Row],[Mechanic Name]]),"")</f>
        <v/>
      </c>
    </row>
    <row r="1318" spans="3:12" hidden="1" x14ac:dyDescent="0.35">
      <c r="C1318" s="80"/>
      <c r="K1318" s="81">
        <f>SUM(Table1[[#This Row],[Technical Knowledge]:[Repeat job nahin aana]])/6</f>
        <v>0</v>
      </c>
      <c r="L1318" s="79" t="str">
        <f>IFERROR(AVERAGEIFS(Table1[Final Score],Table1[Month],Table1[[#This Row],[Month]],Table1[Year],Table1[[#This Row],[Year]],Table1[Mechanic Name],Table1[[#This Row],[Mechanic Name]]),"")</f>
        <v/>
      </c>
    </row>
    <row r="1319" spans="3:12" hidden="1" x14ac:dyDescent="0.35">
      <c r="C1319" s="80"/>
      <c r="K1319" s="81">
        <f>SUM(Table1[[#This Row],[Technical Knowledge]:[Repeat job nahin aana]])/6</f>
        <v>0</v>
      </c>
      <c r="L1319" s="79" t="str">
        <f>IFERROR(AVERAGEIFS(Table1[Final Score],Table1[Month],Table1[[#This Row],[Month]],Table1[Year],Table1[[#This Row],[Year]],Table1[Mechanic Name],Table1[[#This Row],[Mechanic Name]]),"")</f>
        <v/>
      </c>
    </row>
    <row r="1320" spans="3:12" hidden="1" x14ac:dyDescent="0.35">
      <c r="C1320" s="80"/>
      <c r="K1320" s="81">
        <f>SUM(Table1[[#This Row],[Technical Knowledge]:[Repeat job nahin aana]])/6</f>
        <v>0</v>
      </c>
      <c r="L1320" s="79" t="str">
        <f>IFERROR(AVERAGEIFS(Table1[Final Score],Table1[Month],Table1[[#This Row],[Month]],Table1[Year],Table1[[#This Row],[Year]],Table1[Mechanic Name],Table1[[#This Row],[Mechanic Name]]),"")</f>
        <v/>
      </c>
    </row>
    <row r="1321" spans="3:12" hidden="1" x14ac:dyDescent="0.35">
      <c r="C1321" s="80"/>
      <c r="K1321" s="81">
        <f>SUM(Table1[[#This Row],[Technical Knowledge]:[Repeat job nahin aana]])/6</f>
        <v>0</v>
      </c>
      <c r="L1321" s="79" t="str">
        <f>IFERROR(AVERAGEIFS(Table1[Final Score],Table1[Month],Table1[[#This Row],[Month]],Table1[Year],Table1[[#This Row],[Year]],Table1[Mechanic Name],Table1[[#This Row],[Mechanic Name]]),"")</f>
        <v/>
      </c>
    </row>
    <row r="1322" spans="3:12" hidden="1" x14ac:dyDescent="0.35">
      <c r="C1322" s="80"/>
      <c r="K1322" s="81">
        <f>SUM(Table1[[#This Row],[Technical Knowledge]:[Repeat job nahin aana]])/6</f>
        <v>0</v>
      </c>
      <c r="L1322" s="79" t="str">
        <f>IFERROR(AVERAGEIFS(Table1[Final Score],Table1[Month],Table1[[#This Row],[Month]],Table1[Year],Table1[[#This Row],[Year]],Table1[Mechanic Name],Table1[[#This Row],[Mechanic Name]]),"")</f>
        <v/>
      </c>
    </row>
    <row r="1323" spans="3:12" hidden="1" x14ac:dyDescent="0.35">
      <c r="C1323" s="80"/>
      <c r="K1323" s="81">
        <f>SUM(Table1[[#This Row],[Technical Knowledge]:[Repeat job nahin aana]])/6</f>
        <v>0</v>
      </c>
      <c r="L1323" s="79" t="str">
        <f>IFERROR(AVERAGEIFS(Table1[Final Score],Table1[Month],Table1[[#This Row],[Month]],Table1[Year],Table1[[#This Row],[Year]],Table1[Mechanic Name],Table1[[#This Row],[Mechanic Name]]),"")</f>
        <v/>
      </c>
    </row>
    <row r="1324" spans="3:12" hidden="1" x14ac:dyDescent="0.35">
      <c r="C1324" s="80"/>
      <c r="K1324" s="81">
        <f>SUM(Table1[[#This Row],[Technical Knowledge]:[Repeat job nahin aana]])/6</f>
        <v>0</v>
      </c>
      <c r="L1324" s="79" t="str">
        <f>IFERROR(AVERAGEIFS(Table1[Final Score],Table1[Month],Table1[[#This Row],[Month]],Table1[Year],Table1[[#This Row],[Year]],Table1[Mechanic Name],Table1[[#This Row],[Mechanic Name]]),"")</f>
        <v/>
      </c>
    </row>
    <row r="1325" spans="3:12" hidden="1" x14ac:dyDescent="0.35">
      <c r="C1325" s="80"/>
      <c r="K1325" s="81">
        <f>SUM(Table1[[#This Row],[Technical Knowledge]:[Repeat job nahin aana]])/6</f>
        <v>0</v>
      </c>
      <c r="L1325" s="79" t="str">
        <f>IFERROR(AVERAGEIFS(Table1[Final Score],Table1[Month],Table1[[#This Row],[Month]],Table1[Year],Table1[[#This Row],[Year]],Table1[Mechanic Name],Table1[[#This Row],[Mechanic Name]]),"")</f>
        <v/>
      </c>
    </row>
    <row r="1326" spans="3:12" hidden="1" x14ac:dyDescent="0.35">
      <c r="C1326" s="80"/>
      <c r="K1326" s="81">
        <f>SUM(Table1[[#This Row],[Technical Knowledge]:[Repeat job nahin aana]])/6</f>
        <v>0</v>
      </c>
      <c r="L1326" s="79" t="str">
        <f>IFERROR(AVERAGEIFS(Table1[Final Score],Table1[Month],Table1[[#This Row],[Month]],Table1[Year],Table1[[#This Row],[Year]],Table1[Mechanic Name],Table1[[#This Row],[Mechanic Name]]),"")</f>
        <v/>
      </c>
    </row>
    <row r="1327" spans="3:12" hidden="1" x14ac:dyDescent="0.35">
      <c r="C1327" s="80"/>
      <c r="K1327" s="81">
        <f>SUM(Table1[[#This Row],[Technical Knowledge]:[Repeat job nahin aana]])/6</f>
        <v>0</v>
      </c>
      <c r="L1327" s="79" t="str">
        <f>IFERROR(AVERAGEIFS(Table1[Final Score],Table1[Month],Table1[[#This Row],[Month]],Table1[Year],Table1[[#This Row],[Year]],Table1[Mechanic Name],Table1[[#This Row],[Mechanic Name]]),"")</f>
        <v/>
      </c>
    </row>
    <row r="1328" spans="3:12" hidden="1" x14ac:dyDescent="0.35">
      <c r="C1328" s="80"/>
      <c r="K1328" s="81">
        <f>SUM(Table1[[#This Row],[Technical Knowledge]:[Repeat job nahin aana]])/6</f>
        <v>0</v>
      </c>
      <c r="L1328" s="79" t="str">
        <f>IFERROR(AVERAGEIFS(Table1[Final Score],Table1[Month],Table1[[#This Row],[Month]],Table1[Year],Table1[[#This Row],[Year]],Table1[Mechanic Name],Table1[[#This Row],[Mechanic Name]]),"")</f>
        <v/>
      </c>
    </row>
    <row r="1329" spans="3:12" hidden="1" x14ac:dyDescent="0.35">
      <c r="C1329" s="80"/>
      <c r="K1329" s="81">
        <f>SUM(Table1[[#This Row],[Technical Knowledge]:[Repeat job nahin aana]])/6</f>
        <v>0</v>
      </c>
      <c r="L1329" s="79" t="str">
        <f>IFERROR(AVERAGEIFS(Table1[Final Score],Table1[Month],Table1[[#This Row],[Month]],Table1[Year],Table1[[#This Row],[Year]],Table1[Mechanic Name],Table1[[#This Row],[Mechanic Name]]),"")</f>
        <v/>
      </c>
    </row>
    <row r="1330" spans="3:12" hidden="1" x14ac:dyDescent="0.35">
      <c r="C1330" s="80"/>
      <c r="K1330" s="81">
        <f>SUM(Table1[[#This Row],[Technical Knowledge]:[Repeat job nahin aana]])/6</f>
        <v>0</v>
      </c>
      <c r="L1330" s="79" t="str">
        <f>IFERROR(AVERAGEIFS(Table1[Final Score],Table1[Month],Table1[[#This Row],[Month]],Table1[Year],Table1[[#This Row],[Year]],Table1[Mechanic Name],Table1[[#This Row],[Mechanic Name]]),"")</f>
        <v/>
      </c>
    </row>
    <row r="1331" spans="3:12" hidden="1" x14ac:dyDescent="0.35">
      <c r="C1331" s="80"/>
      <c r="K1331" s="81">
        <f>SUM(Table1[[#This Row],[Technical Knowledge]:[Repeat job nahin aana]])/6</f>
        <v>0</v>
      </c>
      <c r="L1331" s="79" t="str">
        <f>IFERROR(AVERAGEIFS(Table1[Final Score],Table1[Month],Table1[[#This Row],[Month]],Table1[Year],Table1[[#This Row],[Year]],Table1[Mechanic Name],Table1[[#This Row],[Mechanic Name]]),"")</f>
        <v/>
      </c>
    </row>
    <row r="1332" spans="3:12" hidden="1" x14ac:dyDescent="0.35">
      <c r="C1332" s="80"/>
      <c r="K1332" s="81">
        <f>SUM(Table1[[#This Row],[Technical Knowledge]:[Repeat job nahin aana]])/6</f>
        <v>0</v>
      </c>
      <c r="L1332" s="79" t="str">
        <f>IFERROR(AVERAGEIFS(Table1[Final Score],Table1[Month],Table1[[#This Row],[Month]],Table1[Year],Table1[[#This Row],[Year]],Table1[Mechanic Name],Table1[[#This Row],[Mechanic Name]]),"")</f>
        <v/>
      </c>
    </row>
    <row r="1333" spans="3:12" hidden="1" x14ac:dyDescent="0.35">
      <c r="C1333" s="80"/>
      <c r="K1333" s="81">
        <f>SUM(Table1[[#This Row],[Technical Knowledge]:[Repeat job nahin aana]])/6</f>
        <v>0</v>
      </c>
      <c r="L1333" s="79" t="str">
        <f>IFERROR(AVERAGEIFS(Table1[Final Score],Table1[Month],Table1[[#This Row],[Month]],Table1[Year],Table1[[#This Row],[Year]],Table1[Mechanic Name],Table1[[#This Row],[Mechanic Name]]),"")</f>
        <v/>
      </c>
    </row>
    <row r="1334" spans="3:12" hidden="1" x14ac:dyDescent="0.35">
      <c r="C1334" s="80"/>
      <c r="K1334" s="81">
        <f>SUM(Table1[[#This Row],[Technical Knowledge]:[Repeat job nahin aana]])/6</f>
        <v>0</v>
      </c>
      <c r="L1334" s="79" t="str">
        <f>IFERROR(AVERAGEIFS(Table1[Final Score],Table1[Month],Table1[[#This Row],[Month]],Table1[Year],Table1[[#This Row],[Year]],Table1[Mechanic Name],Table1[[#This Row],[Mechanic Name]]),"")</f>
        <v/>
      </c>
    </row>
    <row r="1335" spans="3:12" hidden="1" x14ac:dyDescent="0.35">
      <c r="C1335" s="80"/>
      <c r="K1335" s="81">
        <f>SUM(Table1[[#This Row],[Technical Knowledge]:[Repeat job nahin aana]])/6</f>
        <v>0</v>
      </c>
      <c r="L1335" s="79" t="str">
        <f>IFERROR(AVERAGEIFS(Table1[Final Score],Table1[Month],Table1[[#This Row],[Month]],Table1[Year],Table1[[#This Row],[Year]],Table1[Mechanic Name],Table1[[#This Row],[Mechanic Name]]),"")</f>
        <v/>
      </c>
    </row>
    <row r="1336" spans="3:12" hidden="1" x14ac:dyDescent="0.35">
      <c r="C1336" s="80"/>
      <c r="K1336" s="81">
        <f>SUM(Table1[[#This Row],[Technical Knowledge]:[Repeat job nahin aana]])/6</f>
        <v>0</v>
      </c>
      <c r="L1336" s="79" t="str">
        <f>IFERROR(AVERAGEIFS(Table1[Final Score],Table1[Month],Table1[[#This Row],[Month]],Table1[Year],Table1[[#This Row],[Year]],Table1[Mechanic Name],Table1[[#This Row],[Mechanic Name]]),"")</f>
        <v/>
      </c>
    </row>
    <row r="1337" spans="3:12" hidden="1" x14ac:dyDescent="0.35">
      <c r="C1337" s="80"/>
      <c r="K1337" s="81">
        <f>SUM(Table1[[#This Row],[Technical Knowledge]:[Repeat job nahin aana]])/6</f>
        <v>0</v>
      </c>
      <c r="L1337" s="79" t="str">
        <f>IFERROR(AVERAGEIFS(Table1[Final Score],Table1[Month],Table1[[#This Row],[Month]],Table1[Year],Table1[[#This Row],[Year]],Table1[Mechanic Name],Table1[[#This Row],[Mechanic Name]]),"")</f>
        <v/>
      </c>
    </row>
    <row r="1338" spans="3:12" hidden="1" x14ac:dyDescent="0.35">
      <c r="C1338" s="80"/>
      <c r="K1338" s="81">
        <f>SUM(Table1[[#This Row],[Technical Knowledge]:[Repeat job nahin aana]])/6</f>
        <v>0</v>
      </c>
      <c r="L1338" s="79" t="str">
        <f>IFERROR(AVERAGEIFS(Table1[Final Score],Table1[Month],Table1[[#This Row],[Month]],Table1[Year],Table1[[#This Row],[Year]],Table1[Mechanic Name],Table1[[#This Row],[Mechanic Name]]),"")</f>
        <v/>
      </c>
    </row>
    <row r="1339" spans="3:12" hidden="1" x14ac:dyDescent="0.35">
      <c r="C1339" s="80"/>
      <c r="K1339" s="81">
        <f>SUM(Table1[[#This Row],[Technical Knowledge]:[Repeat job nahin aana]])/6</f>
        <v>0</v>
      </c>
      <c r="L1339" s="79" t="str">
        <f>IFERROR(AVERAGEIFS(Table1[Final Score],Table1[Month],Table1[[#This Row],[Month]],Table1[Year],Table1[[#This Row],[Year]],Table1[Mechanic Name],Table1[[#This Row],[Mechanic Name]]),"")</f>
        <v/>
      </c>
    </row>
    <row r="1340" spans="3:12" hidden="1" x14ac:dyDescent="0.35">
      <c r="C1340" s="80"/>
      <c r="K1340" s="81">
        <f>SUM(Table1[[#This Row],[Technical Knowledge]:[Repeat job nahin aana]])/6</f>
        <v>0</v>
      </c>
      <c r="L1340" s="79" t="str">
        <f>IFERROR(AVERAGEIFS(Table1[Final Score],Table1[Month],Table1[[#This Row],[Month]],Table1[Year],Table1[[#This Row],[Year]],Table1[Mechanic Name],Table1[[#This Row],[Mechanic Name]]),"")</f>
        <v/>
      </c>
    </row>
    <row r="1341" spans="3:12" hidden="1" x14ac:dyDescent="0.35">
      <c r="C1341" s="80"/>
      <c r="K1341" s="81">
        <f>SUM(Table1[[#This Row],[Technical Knowledge]:[Repeat job nahin aana]])/6</f>
        <v>0</v>
      </c>
      <c r="L1341" s="79" t="str">
        <f>IFERROR(AVERAGEIFS(Table1[Final Score],Table1[Month],Table1[[#This Row],[Month]],Table1[Year],Table1[[#This Row],[Year]],Table1[Mechanic Name],Table1[[#This Row],[Mechanic Name]]),"")</f>
        <v/>
      </c>
    </row>
    <row r="1342" spans="3:12" hidden="1" x14ac:dyDescent="0.35">
      <c r="C1342" s="80"/>
      <c r="K1342" s="81">
        <f>SUM(Table1[[#This Row],[Technical Knowledge]:[Repeat job nahin aana]])/6</f>
        <v>0</v>
      </c>
      <c r="L1342" s="79" t="str">
        <f>IFERROR(AVERAGEIFS(Table1[Final Score],Table1[Month],Table1[[#This Row],[Month]],Table1[Year],Table1[[#This Row],[Year]],Table1[Mechanic Name],Table1[[#This Row],[Mechanic Name]]),"")</f>
        <v/>
      </c>
    </row>
    <row r="1343" spans="3:12" hidden="1" x14ac:dyDescent="0.35">
      <c r="C1343" s="80"/>
      <c r="K1343" s="81">
        <f>SUM(Table1[[#This Row],[Technical Knowledge]:[Repeat job nahin aana]])/6</f>
        <v>0</v>
      </c>
      <c r="L1343" s="79" t="str">
        <f>IFERROR(AVERAGEIFS(Table1[Final Score],Table1[Month],Table1[[#This Row],[Month]],Table1[Year],Table1[[#This Row],[Year]],Table1[Mechanic Name],Table1[[#This Row],[Mechanic Name]]),"")</f>
        <v/>
      </c>
    </row>
    <row r="1344" spans="3:12" hidden="1" x14ac:dyDescent="0.35">
      <c r="C1344" s="80"/>
      <c r="K1344" s="81">
        <f>SUM(Table1[[#This Row],[Technical Knowledge]:[Repeat job nahin aana]])/6</f>
        <v>0</v>
      </c>
      <c r="L1344" s="79" t="str">
        <f>IFERROR(AVERAGEIFS(Table1[Final Score],Table1[Month],Table1[[#This Row],[Month]],Table1[Year],Table1[[#This Row],[Year]],Table1[Mechanic Name],Table1[[#This Row],[Mechanic Name]]),"")</f>
        <v/>
      </c>
    </row>
    <row r="1345" spans="3:12" hidden="1" x14ac:dyDescent="0.35">
      <c r="C1345" s="80"/>
      <c r="K1345" s="81">
        <f>SUM(Table1[[#This Row],[Technical Knowledge]:[Repeat job nahin aana]])/6</f>
        <v>0</v>
      </c>
      <c r="L1345" s="79" t="str">
        <f>IFERROR(AVERAGEIFS(Table1[Final Score],Table1[Month],Table1[[#This Row],[Month]],Table1[Year],Table1[[#This Row],[Year]],Table1[Mechanic Name],Table1[[#This Row],[Mechanic Name]]),"")</f>
        <v/>
      </c>
    </row>
    <row r="1346" spans="3:12" hidden="1" x14ac:dyDescent="0.35">
      <c r="C1346" s="80"/>
      <c r="K1346" s="81">
        <f>SUM(Table1[[#This Row],[Technical Knowledge]:[Repeat job nahin aana]])/6</f>
        <v>0</v>
      </c>
      <c r="L1346" s="79" t="str">
        <f>IFERROR(AVERAGEIFS(Table1[Final Score],Table1[Month],Table1[[#This Row],[Month]],Table1[Year],Table1[[#This Row],[Year]],Table1[Mechanic Name],Table1[[#This Row],[Mechanic Name]]),"")</f>
        <v/>
      </c>
    </row>
    <row r="1347" spans="3:12" hidden="1" x14ac:dyDescent="0.35">
      <c r="C1347" s="80"/>
      <c r="K1347" s="81">
        <f>SUM(Table1[[#This Row],[Technical Knowledge]:[Repeat job nahin aana]])/6</f>
        <v>0</v>
      </c>
      <c r="L1347" s="79" t="str">
        <f>IFERROR(AVERAGEIFS(Table1[Final Score],Table1[Month],Table1[[#This Row],[Month]],Table1[Year],Table1[[#This Row],[Year]],Table1[Mechanic Name],Table1[[#This Row],[Mechanic Name]]),"")</f>
        <v/>
      </c>
    </row>
    <row r="1348" spans="3:12" hidden="1" x14ac:dyDescent="0.35">
      <c r="C1348" s="80"/>
      <c r="K1348" s="81">
        <f>SUM(Table1[[#This Row],[Technical Knowledge]:[Repeat job nahin aana]])/6</f>
        <v>0</v>
      </c>
      <c r="L1348" s="79" t="str">
        <f>IFERROR(AVERAGEIFS(Table1[Final Score],Table1[Month],Table1[[#This Row],[Month]],Table1[Year],Table1[[#This Row],[Year]],Table1[Mechanic Name],Table1[[#This Row],[Mechanic Name]]),"")</f>
        <v/>
      </c>
    </row>
    <row r="1349" spans="3:12" hidden="1" x14ac:dyDescent="0.35">
      <c r="C1349" s="80"/>
      <c r="K1349" s="81">
        <f>SUM(Table1[[#This Row],[Technical Knowledge]:[Repeat job nahin aana]])/6</f>
        <v>0</v>
      </c>
      <c r="L1349" s="79" t="str">
        <f>IFERROR(AVERAGEIFS(Table1[Final Score],Table1[Month],Table1[[#This Row],[Month]],Table1[Year],Table1[[#This Row],[Year]],Table1[Mechanic Name],Table1[[#This Row],[Mechanic Name]]),"")</f>
        <v/>
      </c>
    </row>
    <row r="1350" spans="3:12" hidden="1" x14ac:dyDescent="0.35">
      <c r="C1350" s="80"/>
      <c r="K1350" s="81">
        <f>SUM(Table1[[#This Row],[Technical Knowledge]:[Repeat job nahin aana]])/6</f>
        <v>0</v>
      </c>
      <c r="L1350" s="79" t="str">
        <f>IFERROR(AVERAGEIFS(Table1[Final Score],Table1[Month],Table1[[#This Row],[Month]],Table1[Year],Table1[[#This Row],[Year]],Table1[Mechanic Name],Table1[[#This Row],[Mechanic Name]]),"")</f>
        <v/>
      </c>
    </row>
    <row r="1351" spans="3:12" hidden="1" x14ac:dyDescent="0.35">
      <c r="C1351" s="80"/>
      <c r="K1351" s="81">
        <f>SUM(Table1[[#This Row],[Technical Knowledge]:[Repeat job nahin aana]])/6</f>
        <v>0</v>
      </c>
      <c r="L1351" s="79" t="str">
        <f>IFERROR(AVERAGEIFS(Table1[Final Score],Table1[Month],Table1[[#This Row],[Month]],Table1[Year],Table1[[#This Row],[Year]],Table1[Mechanic Name],Table1[[#This Row],[Mechanic Name]]),"")</f>
        <v/>
      </c>
    </row>
    <row r="1352" spans="3:12" hidden="1" x14ac:dyDescent="0.35">
      <c r="C1352" s="80"/>
      <c r="K1352" s="81">
        <f>SUM(Table1[[#This Row],[Technical Knowledge]:[Repeat job nahin aana]])/6</f>
        <v>0</v>
      </c>
      <c r="L1352" s="79" t="str">
        <f>IFERROR(AVERAGEIFS(Table1[Final Score],Table1[Month],Table1[[#This Row],[Month]],Table1[Year],Table1[[#This Row],[Year]],Table1[Mechanic Name],Table1[[#This Row],[Mechanic Name]]),"")</f>
        <v/>
      </c>
    </row>
    <row r="1353" spans="3:12" hidden="1" x14ac:dyDescent="0.35">
      <c r="C1353" s="80"/>
      <c r="K1353" s="81">
        <f>SUM(Table1[[#This Row],[Technical Knowledge]:[Repeat job nahin aana]])/6</f>
        <v>0</v>
      </c>
      <c r="L1353" s="79" t="str">
        <f>IFERROR(AVERAGEIFS(Table1[Final Score],Table1[Month],Table1[[#This Row],[Month]],Table1[Year],Table1[[#This Row],[Year]],Table1[Mechanic Name],Table1[[#This Row],[Mechanic Name]]),"")</f>
        <v/>
      </c>
    </row>
    <row r="1354" spans="3:12" hidden="1" x14ac:dyDescent="0.35">
      <c r="C1354" s="80"/>
      <c r="K1354" s="81">
        <f>SUM(Table1[[#This Row],[Technical Knowledge]:[Repeat job nahin aana]])/6</f>
        <v>0</v>
      </c>
      <c r="L1354" s="79" t="str">
        <f>IFERROR(AVERAGEIFS(Table1[Final Score],Table1[Month],Table1[[#This Row],[Month]],Table1[Year],Table1[[#This Row],[Year]],Table1[Mechanic Name],Table1[[#This Row],[Mechanic Name]]),"")</f>
        <v/>
      </c>
    </row>
    <row r="1355" spans="3:12" hidden="1" x14ac:dyDescent="0.35">
      <c r="C1355" s="80"/>
      <c r="K1355" s="81">
        <f>SUM(Table1[[#This Row],[Technical Knowledge]:[Repeat job nahin aana]])/6</f>
        <v>0</v>
      </c>
      <c r="L1355" s="79" t="str">
        <f>IFERROR(AVERAGEIFS(Table1[Final Score],Table1[Month],Table1[[#This Row],[Month]],Table1[Year],Table1[[#This Row],[Year]],Table1[Mechanic Name],Table1[[#This Row],[Mechanic Name]]),"")</f>
        <v/>
      </c>
    </row>
    <row r="1356" spans="3:12" hidden="1" x14ac:dyDescent="0.35">
      <c r="C1356" s="80"/>
      <c r="K1356" s="81">
        <f>SUM(Table1[[#This Row],[Technical Knowledge]:[Repeat job nahin aana]])/6</f>
        <v>0</v>
      </c>
      <c r="L1356" s="79" t="str">
        <f>IFERROR(AVERAGEIFS(Table1[Final Score],Table1[Month],Table1[[#This Row],[Month]],Table1[Year],Table1[[#This Row],[Year]],Table1[Mechanic Name],Table1[[#This Row],[Mechanic Name]]),"")</f>
        <v/>
      </c>
    </row>
    <row r="1357" spans="3:12" hidden="1" x14ac:dyDescent="0.35">
      <c r="C1357" s="80"/>
      <c r="K1357" s="81">
        <f>SUM(Table1[[#This Row],[Technical Knowledge]:[Repeat job nahin aana]])/6</f>
        <v>0</v>
      </c>
      <c r="L1357" s="79" t="str">
        <f>IFERROR(AVERAGEIFS(Table1[Final Score],Table1[Month],Table1[[#This Row],[Month]],Table1[Year],Table1[[#This Row],[Year]],Table1[Mechanic Name],Table1[[#This Row],[Mechanic Name]]),"")</f>
        <v/>
      </c>
    </row>
    <row r="1358" spans="3:12" hidden="1" x14ac:dyDescent="0.35">
      <c r="C1358" s="80"/>
      <c r="K1358" s="81">
        <f>SUM(Table1[[#This Row],[Technical Knowledge]:[Repeat job nahin aana]])/6</f>
        <v>0</v>
      </c>
      <c r="L1358" s="79" t="str">
        <f>IFERROR(AVERAGEIFS(Table1[Final Score],Table1[Month],Table1[[#This Row],[Month]],Table1[Year],Table1[[#This Row],[Year]],Table1[Mechanic Name],Table1[[#This Row],[Mechanic Name]]),"")</f>
        <v/>
      </c>
    </row>
    <row r="1359" spans="3:12" hidden="1" x14ac:dyDescent="0.35">
      <c r="C1359" s="80"/>
      <c r="K1359" s="81">
        <f>SUM(Table1[[#This Row],[Technical Knowledge]:[Repeat job nahin aana]])/6</f>
        <v>0</v>
      </c>
      <c r="L1359" s="79" t="str">
        <f>IFERROR(AVERAGEIFS(Table1[Final Score],Table1[Month],Table1[[#This Row],[Month]],Table1[Year],Table1[[#This Row],[Year]],Table1[Mechanic Name],Table1[[#This Row],[Mechanic Name]]),"")</f>
        <v/>
      </c>
    </row>
    <row r="1360" spans="3:12" hidden="1" x14ac:dyDescent="0.35">
      <c r="C1360" s="80"/>
      <c r="K1360" s="81">
        <f>SUM(Table1[[#This Row],[Technical Knowledge]:[Repeat job nahin aana]])/6</f>
        <v>0</v>
      </c>
      <c r="L1360" s="79" t="str">
        <f>IFERROR(AVERAGEIFS(Table1[Final Score],Table1[Month],Table1[[#This Row],[Month]],Table1[Year],Table1[[#This Row],[Year]],Table1[Mechanic Name],Table1[[#This Row],[Mechanic Name]]),"")</f>
        <v/>
      </c>
    </row>
    <row r="1361" spans="3:12" hidden="1" x14ac:dyDescent="0.35">
      <c r="C1361" s="80"/>
      <c r="K1361" s="81">
        <f>SUM(Table1[[#This Row],[Technical Knowledge]:[Repeat job nahin aana]])/6</f>
        <v>0</v>
      </c>
      <c r="L1361" s="79" t="str">
        <f>IFERROR(AVERAGEIFS(Table1[Final Score],Table1[Month],Table1[[#This Row],[Month]],Table1[Year],Table1[[#This Row],[Year]],Table1[Mechanic Name],Table1[[#This Row],[Mechanic Name]]),"")</f>
        <v/>
      </c>
    </row>
    <row r="1362" spans="3:12" hidden="1" x14ac:dyDescent="0.35">
      <c r="C1362" s="80"/>
      <c r="K1362" s="81">
        <f>SUM(Table1[[#This Row],[Technical Knowledge]:[Repeat job nahin aana]])/6</f>
        <v>0</v>
      </c>
      <c r="L1362" s="79" t="str">
        <f>IFERROR(AVERAGEIFS(Table1[Final Score],Table1[Month],Table1[[#This Row],[Month]],Table1[Year],Table1[[#This Row],[Year]],Table1[Mechanic Name],Table1[[#This Row],[Mechanic Name]]),"")</f>
        <v/>
      </c>
    </row>
    <row r="1363" spans="3:12" hidden="1" x14ac:dyDescent="0.35">
      <c r="C1363" s="80"/>
      <c r="K1363" s="81">
        <f>SUM(Table1[[#This Row],[Technical Knowledge]:[Repeat job nahin aana]])/6</f>
        <v>0</v>
      </c>
      <c r="L1363" s="79" t="str">
        <f>IFERROR(AVERAGEIFS(Table1[Final Score],Table1[Month],Table1[[#This Row],[Month]],Table1[Year],Table1[[#This Row],[Year]],Table1[Mechanic Name],Table1[[#This Row],[Mechanic Name]]),"")</f>
        <v/>
      </c>
    </row>
    <row r="1364" spans="3:12" hidden="1" x14ac:dyDescent="0.35">
      <c r="C1364" s="80"/>
      <c r="K1364" s="81">
        <f>SUM(Table1[[#This Row],[Technical Knowledge]:[Repeat job nahin aana]])/6</f>
        <v>0</v>
      </c>
      <c r="L1364" s="79" t="str">
        <f>IFERROR(AVERAGEIFS(Table1[Final Score],Table1[Month],Table1[[#This Row],[Month]],Table1[Year],Table1[[#This Row],[Year]],Table1[Mechanic Name],Table1[[#This Row],[Mechanic Name]]),"")</f>
        <v/>
      </c>
    </row>
    <row r="1365" spans="3:12" hidden="1" x14ac:dyDescent="0.35">
      <c r="C1365" s="80"/>
      <c r="K1365" s="81">
        <f>SUM(Table1[[#This Row],[Technical Knowledge]:[Repeat job nahin aana]])/6</f>
        <v>0</v>
      </c>
      <c r="L1365" s="79" t="str">
        <f>IFERROR(AVERAGEIFS(Table1[Final Score],Table1[Month],Table1[[#This Row],[Month]],Table1[Year],Table1[[#This Row],[Year]],Table1[Mechanic Name],Table1[[#This Row],[Mechanic Name]]),"")</f>
        <v/>
      </c>
    </row>
    <row r="1366" spans="3:12" hidden="1" x14ac:dyDescent="0.35">
      <c r="C1366" s="80"/>
      <c r="K1366" s="81">
        <f>SUM(Table1[[#This Row],[Technical Knowledge]:[Repeat job nahin aana]])/6</f>
        <v>0</v>
      </c>
      <c r="L1366" s="79" t="str">
        <f>IFERROR(AVERAGEIFS(Table1[Final Score],Table1[Month],Table1[[#This Row],[Month]],Table1[Year],Table1[[#This Row],[Year]],Table1[Mechanic Name],Table1[[#This Row],[Mechanic Name]]),"")</f>
        <v/>
      </c>
    </row>
    <row r="1367" spans="3:12" hidden="1" x14ac:dyDescent="0.35">
      <c r="C1367" s="80"/>
      <c r="K1367" s="81">
        <f>SUM(Table1[[#This Row],[Technical Knowledge]:[Repeat job nahin aana]])/6</f>
        <v>0</v>
      </c>
      <c r="L1367" s="79" t="str">
        <f>IFERROR(AVERAGEIFS(Table1[Final Score],Table1[Month],Table1[[#This Row],[Month]],Table1[Year],Table1[[#This Row],[Year]],Table1[Mechanic Name],Table1[[#This Row],[Mechanic Name]]),"")</f>
        <v/>
      </c>
    </row>
    <row r="1368" spans="3:12" hidden="1" x14ac:dyDescent="0.35">
      <c r="C1368" s="80"/>
      <c r="K1368" s="81">
        <f>SUM(Table1[[#This Row],[Technical Knowledge]:[Repeat job nahin aana]])/6</f>
        <v>0</v>
      </c>
      <c r="L1368" s="79" t="str">
        <f>IFERROR(AVERAGEIFS(Table1[Final Score],Table1[Month],Table1[[#This Row],[Month]],Table1[Year],Table1[[#This Row],[Year]],Table1[Mechanic Name],Table1[[#This Row],[Mechanic Name]]),"")</f>
        <v/>
      </c>
    </row>
    <row r="1369" spans="3:12" hidden="1" x14ac:dyDescent="0.35">
      <c r="C1369" s="80"/>
      <c r="K1369" s="81">
        <f>SUM(Table1[[#This Row],[Technical Knowledge]:[Repeat job nahin aana]])/6</f>
        <v>0</v>
      </c>
      <c r="L1369" s="79" t="str">
        <f>IFERROR(AVERAGEIFS(Table1[Final Score],Table1[Month],Table1[[#This Row],[Month]],Table1[Year],Table1[[#This Row],[Year]],Table1[Mechanic Name],Table1[[#This Row],[Mechanic Name]]),"")</f>
        <v/>
      </c>
    </row>
    <row r="1370" spans="3:12" hidden="1" x14ac:dyDescent="0.35">
      <c r="C1370" s="80"/>
      <c r="K1370" s="81">
        <f>SUM(Table1[[#This Row],[Technical Knowledge]:[Repeat job nahin aana]])/6</f>
        <v>0</v>
      </c>
      <c r="L1370" s="79" t="str">
        <f>IFERROR(AVERAGEIFS(Table1[Final Score],Table1[Month],Table1[[#This Row],[Month]],Table1[Year],Table1[[#This Row],[Year]],Table1[Mechanic Name],Table1[[#This Row],[Mechanic Name]]),"")</f>
        <v/>
      </c>
    </row>
    <row r="1371" spans="3:12" hidden="1" x14ac:dyDescent="0.35">
      <c r="C1371" s="80"/>
      <c r="K1371" s="81">
        <f>SUM(Table1[[#This Row],[Technical Knowledge]:[Repeat job nahin aana]])/6</f>
        <v>0</v>
      </c>
      <c r="L1371" s="79" t="str">
        <f>IFERROR(AVERAGEIFS(Table1[Final Score],Table1[Month],Table1[[#This Row],[Month]],Table1[Year],Table1[[#This Row],[Year]],Table1[Mechanic Name],Table1[[#This Row],[Mechanic Name]]),"")</f>
        <v/>
      </c>
    </row>
    <row r="1372" spans="3:12" hidden="1" x14ac:dyDescent="0.35">
      <c r="C1372" s="80"/>
      <c r="K1372" s="81">
        <f>SUM(Table1[[#This Row],[Technical Knowledge]:[Repeat job nahin aana]])/6</f>
        <v>0</v>
      </c>
      <c r="L1372" s="79" t="str">
        <f>IFERROR(AVERAGEIFS(Table1[Final Score],Table1[Month],Table1[[#This Row],[Month]],Table1[Year],Table1[[#This Row],[Year]],Table1[Mechanic Name],Table1[[#This Row],[Mechanic Name]]),"")</f>
        <v/>
      </c>
    </row>
    <row r="1373" spans="3:12" hidden="1" x14ac:dyDescent="0.35">
      <c r="C1373" s="80"/>
      <c r="K1373" s="81">
        <f>SUM(Table1[[#This Row],[Technical Knowledge]:[Repeat job nahin aana]])/6</f>
        <v>0</v>
      </c>
      <c r="L1373" s="79" t="str">
        <f>IFERROR(AVERAGEIFS(Table1[Final Score],Table1[Month],Table1[[#This Row],[Month]],Table1[Year],Table1[[#This Row],[Year]],Table1[Mechanic Name],Table1[[#This Row],[Mechanic Name]]),"")</f>
        <v/>
      </c>
    </row>
    <row r="1374" spans="3:12" hidden="1" x14ac:dyDescent="0.35">
      <c r="C1374" s="80"/>
      <c r="K1374" s="81">
        <f>SUM(Table1[[#This Row],[Technical Knowledge]:[Repeat job nahin aana]])/6</f>
        <v>0</v>
      </c>
      <c r="L1374" s="79" t="str">
        <f>IFERROR(AVERAGEIFS(Table1[Final Score],Table1[Month],Table1[[#This Row],[Month]],Table1[Year],Table1[[#This Row],[Year]],Table1[Mechanic Name],Table1[[#This Row],[Mechanic Name]]),"")</f>
        <v/>
      </c>
    </row>
    <row r="1375" spans="3:12" hidden="1" x14ac:dyDescent="0.35">
      <c r="C1375" s="80"/>
      <c r="K1375" s="81">
        <f>SUM(Table1[[#This Row],[Technical Knowledge]:[Repeat job nahin aana]])/6</f>
        <v>0</v>
      </c>
      <c r="L1375" s="79" t="str">
        <f>IFERROR(AVERAGEIFS(Table1[Final Score],Table1[Month],Table1[[#This Row],[Month]],Table1[Year],Table1[[#This Row],[Year]],Table1[Mechanic Name],Table1[[#This Row],[Mechanic Name]]),"")</f>
        <v/>
      </c>
    </row>
    <row r="1376" spans="3:12" hidden="1" x14ac:dyDescent="0.35">
      <c r="C1376" s="80"/>
      <c r="K1376" s="81">
        <f>SUM(Table1[[#This Row],[Technical Knowledge]:[Repeat job nahin aana]])/6</f>
        <v>0</v>
      </c>
      <c r="L1376" s="79" t="str">
        <f>IFERROR(AVERAGEIFS(Table1[Final Score],Table1[Month],Table1[[#This Row],[Month]],Table1[Year],Table1[[#This Row],[Year]],Table1[Mechanic Name],Table1[[#This Row],[Mechanic Name]]),"")</f>
        <v/>
      </c>
    </row>
    <row r="1377" spans="3:12" hidden="1" x14ac:dyDescent="0.35">
      <c r="C1377" s="80"/>
      <c r="K1377" s="81">
        <f>SUM(Table1[[#This Row],[Technical Knowledge]:[Repeat job nahin aana]])/6</f>
        <v>0</v>
      </c>
      <c r="L1377" s="79" t="str">
        <f>IFERROR(AVERAGEIFS(Table1[Final Score],Table1[Month],Table1[[#This Row],[Month]],Table1[Year],Table1[[#This Row],[Year]],Table1[Mechanic Name],Table1[[#This Row],[Mechanic Name]]),"")</f>
        <v/>
      </c>
    </row>
    <row r="1378" spans="3:12" hidden="1" x14ac:dyDescent="0.35">
      <c r="C1378" s="80"/>
      <c r="K1378" s="81">
        <f>SUM(Table1[[#This Row],[Technical Knowledge]:[Repeat job nahin aana]])/6</f>
        <v>0</v>
      </c>
      <c r="L1378" s="79" t="str">
        <f>IFERROR(AVERAGEIFS(Table1[Final Score],Table1[Month],Table1[[#This Row],[Month]],Table1[Year],Table1[[#This Row],[Year]],Table1[Mechanic Name],Table1[[#This Row],[Mechanic Name]]),"")</f>
        <v/>
      </c>
    </row>
    <row r="1379" spans="3:12" hidden="1" x14ac:dyDescent="0.35">
      <c r="C1379" s="80"/>
      <c r="K1379" s="81">
        <f>SUM(Table1[[#This Row],[Technical Knowledge]:[Repeat job nahin aana]])/6</f>
        <v>0</v>
      </c>
      <c r="L1379" s="79" t="str">
        <f>IFERROR(AVERAGEIFS(Table1[Final Score],Table1[Month],Table1[[#This Row],[Month]],Table1[Year],Table1[[#This Row],[Year]],Table1[Mechanic Name],Table1[[#This Row],[Mechanic Name]]),"")</f>
        <v/>
      </c>
    </row>
    <row r="1380" spans="3:12" hidden="1" x14ac:dyDescent="0.35">
      <c r="C1380" s="80"/>
      <c r="K1380" s="81">
        <f>SUM(Table1[[#This Row],[Technical Knowledge]:[Repeat job nahin aana]])/6</f>
        <v>0</v>
      </c>
      <c r="L1380" s="79" t="str">
        <f>IFERROR(AVERAGEIFS(Table1[Final Score],Table1[Month],Table1[[#This Row],[Month]],Table1[Year],Table1[[#This Row],[Year]],Table1[Mechanic Name],Table1[[#This Row],[Mechanic Name]]),"")</f>
        <v/>
      </c>
    </row>
    <row r="1381" spans="3:12" hidden="1" x14ac:dyDescent="0.35">
      <c r="C1381" s="80"/>
      <c r="K1381" s="81">
        <f>SUM(Table1[[#This Row],[Technical Knowledge]:[Repeat job nahin aana]])/6</f>
        <v>0</v>
      </c>
      <c r="L1381" s="79" t="str">
        <f>IFERROR(AVERAGEIFS(Table1[Final Score],Table1[Month],Table1[[#This Row],[Month]],Table1[Year],Table1[[#This Row],[Year]],Table1[Mechanic Name],Table1[[#This Row],[Mechanic Name]]),"")</f>
        <v/>
      </c>
    </row>
    <row r="1382" spans="3:12" hidden="1" x14ac:dyDescent="0.35">
      <c r="C1382" s="80"/>
      <c r="K1382" s="81">
        <f>SUM(Table1[[#This Row],[Technical Knowledge]:[Repeat job nahin aana]])/6</f>
        <v>0</v>
      </c>
      <c r="L1382" s="79" t="str">
        <f>IFERROR(AVERAGEIFS(Table1[Final Score],Table1[Month],Table1[[#This Row],[Month]],Table1[Year],Table1[[#This Row],[Year]],Table1[Mechanic Name],Table1[[#This Row],[Mechanic Name]]),"")</f>
        <v/>
      </c>
    </row>
    <row r="1383" spans="3:12" hidden="1" x14ac:dyDescent="0.35">
      <c r="C1383" s="80"/>
      <c r="K1383" s="81">
        <f>SUM(Table1[[#This Row],[Technical Knowledge]:[Repeat job nahin aana]])/6</f>
        <v>0</v>
      </c>
      <c r="L1383" s="79" t="str">
        <f>IFERROR(AVERAGEIFS(Table1[Final Score],Table1[Month],Table1[[#This Row],[Month]],Table1[Year],Table1[[#This Row],[Year]],Table1[Mechanic Name],Table1[[#This Row],[Mechanic Name]]),"")</f>
        <v/>
      </c>
    </row>
    <row r="1384" spans="3:12" hidden="1" x14ac:dyDescent="0.35">
      <c r="C1384" s="80"/>
      <c r="K1384" s="81">
        <f>SUM(Table1[[#This Row],[Technical Knowledge]:[Repeat job nahin aana]])/6</f>
        <v>0</v>
      </c>
      <c r="L1384" s="79" t="str">
        <f>IFERROR(AVERAGEIFS(Table1[Final Score],Table1[Month],Table1[[#This Row],[Month]],Table1[Year],Table1[[#This Row],[Year]],Table1[Mechanic Name],Table1[[#This Row],[Mechanic Name]]),"")</f>
        <v/>
      </c>
    </row>
    <row r="1385" spans="3:12" hidden="1" x14ac:dyDescent="0.35">
      <c r="C1385" s="80"/>
      <c r="K1385" s="81">
        <f>SUM(Table1[[#This Row],[Technical Knowledge]:[Repeat job nahin aana]])/6</f>
        <v>0</v>
      </c>
      <c r="L1385" s="79" t="str">
        <f>IFERROR(AVERAGEIFS(Table1[Final Score],Table1[Month],Table1[[#This Row],[Month]],Table1[Year],Table1[[#This Row],[Year]],Table1[Mechanic Name],Table1[[#This Row],[Mechanic Name]]),"")</f>
        <v/>
      </c>
    </row>
    <row r="1386" spans="3:12" hidden="1" x14ac:dyDescent="0.35">
      <c r="C1386" s="80"/>
      <c r="K1386" s="81">
        <f>SUM(Table1[[#This Row],[Technical Knowledge]:[Repeat job nahin aana]])/6</f>
        <v>0</v>
      </c>
      <c r="L1386" s="79" t="str">
        <f>IFERROR(AVERAGEIFS(Table1[Final Score],Table1[Month],Table1[[#This Row],[Month]],Table1[Year],Table1[[#This Row],[Year]],Table1[Mechanic Name],Table1[[#This Row],[Mechanic Name]]),"")</f>
        <v/>
      </c>
    </row>
    <row r="1387" spans="3:12" hidden="1" x14ac:dyDescent="0.35">
      <c r="C1387" s="80"/>
      <c r="K1387" s="81">
        <f>SUM(Table1[[#This Row],[Technical Knowledge]:[Repeat job nahin aana]])/6</f>
        <v>0</v>
      </c>
      <c r="L1387" s="79" t="str">
        <f>IFERROR(AVERAGEIFS(Table1[Final Score],Table1[Month],Table1[[#This Row],[Month]],Table1[Year],Table1[[#This Row],[Year]],Table1[Mechanic Name],Table1[[#This Row],[Mechanic Name]]),"")</f>
        <v/>
      </c>
    </row>
    <row r="1388" spans="3:12" hidden="1" x14ac:dyDescent="0.35">
      <c r="C1388" s="80"/>
      <c r="K1388" s="81">
        <f>SUM(Table1[[#This Row],[Technical Knowledge]:[Repeat job nahin aana]])/6</f>
        <v>0</v>
      </c>
      <c r="L1388" s="79" t="str">
        <f>IFERROR(AVERAGEIFS(Table1[Final Score],Table1[Month],Table1[[#This Row],[Month]],Table1[Year],Table1[[#This Row],[Year]],Table1[Mechanic Name],Table1[[#This Row],[Mechanic Name]]),"")</f>
        <v/>
      </c>
    </row>
    <row r="1389" spans="3:12" hidden="1" x14ac:dyDescent="0.35">
      <c r="C1389" s="80"/>
      <c r="K1389" s="81">
        <f>SUM(Table1[[#This Row],[Technical Knowledge]:[Repeat job nahin aana]])/6</f>
        <v>0</v>
      </c>
      <c r="L1389" s="79" t="str">
        <f>IFERROR(AVERAGEIFS(Table1[Final Score],Table1[Month],Table1[[#This Row],[Month]],Table1[Year],Table1[[#This Row],[Year]],Table1[Mechanic Name],Table1[[#This Row],[Mechanic Name]]),"")</f>
        <v/>
      </c>
    </row>
    <row r="1390" spans="3:12" hidden="1" x14ac:dyDescent="0.35">
      <c r="C1390" s="80"/>
      <c r="K1390" s="81">
        <f>SUM(Table1[[#This Row],[Technical Knowledge]:[Repeat job nahin aana]])/6</f>
        <v>0</v>
      </c>
      <c r="L1390" s="79" t="str">
        <f>IFERROR(AVERAGEIFS(Table1[Final Score],Table1[Month],Table1[[#This Row],[Month]],Table1[Year],Table1[[#This Row],[Year]],Table1[Mechanic Name],Table1[[#This Row],[Mechanic Name]]),"")</f>
        <v/>
      </c>
    </row>
    <row r="1391" spans="3:12" hidden="1" x14ac:dyDescent="0.35">
      <c r="C1391" s="80"/>
      <c r="K1391" s="81">
        <f>SUM(Table1[[#This Row],[Technical Knowledge]:[Repeat job nahin aana]])/6</f>
        <v>0</v>
      </c>
      <c r="L1391" s="79" t="str">
        <f>IFERROR(AVERAGEIFS(Table1[Final Score],Table1[Month],Table1[[#This Row],[Month]],Table1[Year],Table1[[#This Row],[Year]],Table1[Mechanic Name],Table1[[#This Row],[Mechanic Name]]),"")</f>
        <v/>
      </c>
    </row>
    <row r="1392" spans="3:12" hidden="1" x14ac:dyDescent="0.35">
      <c r="C1392" s="80"/>
      <c r="K1392" s="81">
        <f>SUM(Table1[[#This Row],[Technical Knowledge]:[Repeat job nahin aana]])/6</f>
        <v>0</v>
      </c>
      <c r="L1392" s="79" t="str">
        <f>IFERROR(AVERAGEIFS(Table1[Final Score],Table1[Month],Table1[[#This Row],[Month]],Table1[Year],Table1[[#This Row],[Year]],Table1[Mechanic Name],Table1[[#This Row],[Mechanic Name]]),"")</f>
        <v/>
      </c>
    </row>
    <row r="1393" spans="3:12" hidden="1" x14ac:dyDescent="0.35">
      <c r="C1393" s="80"/>
      <c r="K1393" s="81">
        <f>SUM(Table1[[#This Row],[Technical Knowledge]:[Repeat job nahin aana]])/6</f>
        <v>0</v>
      </c>
      <c r="L1393" s="79" t="str">
        <f>IFERROR(AVERAGEIFS(Table1[Final Score],Table1[Month],Table1[[#This Row],[Month]],Table1[Year],Table1[[#This Row],[Year]],Table1[Mechanic Name],Table1[[#This Row],[Mechanic Name]]),"")</f>
        <v/>
      </c>
    </row>
    <row r="1394" spans="3:12" hidden="1" x14ac:dyDescent="0.35">
      <c r="C1394" s="80"/>
      <c r="K1394" s="81">
        <f>SUM(Table1[[#This Row],[Technical Knowledge]:[Repeat job nahin aana]])/6</f>
        <v>0</v>
      </c>
      <c r="L1394" s="79" t="str">
        <f>IFERROR(AVERAGEIFS(Table1[Final Score],Table1[Month],Table1[[#This Row],[Month]],Table1[Year],Table1[[#This Row],[Year]],Table1[Mechanic Name],Table1[[#This Row],[Mechanic Name]]),"")</f>
        <v/>
      </c>
    </row>
    <row r="1395" spans="3:12" hidden="1" x14ac:dyDescent="0.35">
      <c r="C1395" s="80"/>
      <c r="K1395" s="81">
        <f>SUM(Table1[[#This Row],[Technical Knowledge]:[Repeat job nahin aana]])/6</f>
        <v>0</v>
      </c>
      <c r="L1395" s="79" t="str">
        <f>IFERROR(AVERAGEIFS(Table1[Final Score],Table1[Month],Table1[[#This Row],[Month]],Table1[Year],Table1[[#This Row],[Year]],Table1[Mechanic Name],Table1[[#This Row],[Mechanic Name]]),"")</f>
        <v/>
      </c>
    </row>
    <row r="1396" spans="3:12" hidden="1" x14ac:dyDescent="0.35">
      <c r="C1396" s="80"/>
      <c r="K1396" s="81">
        <f>SUM(Table1[[#This Row],[Technical Knowledge]:[Repeat job nahin aana]])/6</f>
        <v>0</v>
      </c>
      <c r="L1396" s="79" t="str">
        <f>IFERROR(AVERAGEIFS(Table1[Final Score],Table1[Month],Table1[[#This Row],[Month]],Table1[Year],Table1[[#This Row],[Year]],Table1[Mechanic Name],Table1[[#This Row],[Mechanic Name]]),"")</f>
        <v/>
      </c>
    </row>
    <row r="1397" spans="3:12" hidden="1" x14ac:dyDescent="0.35">
      <c r="C1397" s="80"/>
      <c r="K1397" s="81">
        <f>SUM(Table1[[#This Row],[Technical Knowledge]:[Repeat job nahin aana]])/6</f>
        <v>0</v>
      </c>
      <c r="L1397" s="79" t="str">
        <f>IFERROR(AVERAGEIFS(Table1[Final Score],Table1[Month],Table1[[#This Row],[Month]],Table1[Year],Table1[[#This Row],[Year]],Table1[Mechanic Name],Table1[[#This Row],[Mechanic Name]]),"")</f>
        <v/>
      </c>
    </row>
    <row r="1398" spans="3:12" hidden="1" x14ac:dyDescent="0.35">
      <c r="C1398" s="80"/>
      <c r="K1398" s="81">
        <f>SUM(Table1[[#This Row],[Technical Knowledge]:[Repeat job nahin aana]])/6</f>
        <v>0</v>
      </c>
      <c r="L1398" s="79" t="str">
        <f>IFERROR(AVERAGEIFS(Table1[Final Score],Table1[Month],Table1[[#This Row],[Month]],Table1[Year],Table1[[#This Row],[Year]],Table1[Mechanic Name],Table1[[#This Row],[Mechanic Name]]),"")</f>
        <v/>
      </c>
    </row>
    <row r="1399" spans="3:12" hidden="1" x14ac:dyDescent="0.35">
      <c r="C1399" s="80"/>
      <c r="K1399" s="81">
        <f>SUM(Table1[[#This Row],[Technical Knowledge]:[Repeat job nahin aana]])/6</f>
        <v>0</v>
      </c>
      <c r="L1399" s="79" t="str">
        <f>IFERROR(AVERAGEIFS(Table1[Final Score],Table1[Month],Table1[[#This Row],[Month]],Table1[Year],Table1[[#This Row],[Year]],Table1[Mechanic Name],Table1[[#This Row],[Mechanic Name]]),"")</f>
        <v/>
      </c>
    </row>
    <row r="1400" spans="3:12" hidden="1" x14ac:dyDescent="0.35">
      <c r="C1400" s="80"/>
      <c r="K1400" s="81">
        <f>SUM(Table1[[#This Row],[Technical Knowledge]:[Repeat job nahin aana]])/6</f>
        <v>0</v>
      </c>
      <c r="L1400" s="79" t="str">
        <f>IFERROR(AVERAGEIFS(Table1[Final Score],Table1[Month],Table1[[#This Row],[Month]],Table1[Year],Table1[[#This Row],[Year]],Table1[Mechanic Name],Table1[[#This Row],[Mechanic Name]]),"")</f>
        <v/>
      </c>
    </row>
    <row r="1401" spans="3:12" hidden="1" x14ac:dyDescent="0.35">
      <c r="C1401" s="80"/>
      <c r="K1401" s="81">
        <f>SUM(Table1[[#This Row],[Technical Knowledge]:[Repeat job nahin aana]])/6</f>
        <v>0</v>
      </c>
      <c r="L1401" s="79" t="str">
        <f>IFERROR(AVERAGEIFS(Table1[Final Score],Table1[Month],Table1[[#This Row],[Month]],Table1[Year],Table1[[#This Row],[Year]],Table1[Mechanic Name],Table1[[#This Row],[Mechanic Name]]),"")</f>
        <v/>
      </c>
    </row>
    <row r="1402" spans="3:12" hidden="1" x14ac:dyDescent="0.35">
      <c r="C1402" s="80"/>
      <c r="K1402" s="81">
        <f>SUM(Table1[[#This Row],[Technical Knowledge]:[Repeat job nahin aana]])/6</f>
        <v>0</v>
      </c>
      <c r="L1402" s="79" t="str">
        <f>IFERROR(AVERAGEIFS(Table1[Final Score],Table1[Month],Table1[[#This Row],[Month]],Table1[Year],Table1[[#This Row],[Year]],Table1[Mechanic Name],Table1[[#This Row],[Mechanic Name]]),"")</f>
        <v/>
      </c>
    </row>
    <row r="1403" spans="3:12" hidden="1" x14ac:dyDescent="0.35">
      <c r="C1403" s="80"/>
      <c r="K1403" s="81">
        <f>SUM(Table1[[#This Row],[Technical Knowledge]:[Repeat job nahin aana]])/6</f>
        <v>0</v>
      </c>
      <c r="L1403" s="79" t="str">
        <f>IFERROR(AVERAGEIFS(Table1[Final Score],Table1[Month],Table1[[#This Row],[Month]],Table1[Year],Table1[[#This Row],[Year]],Table1[Mechanic Name],Table1[[#This Row],[Mechanic Name]]),"")</f>
        <v/>
      </c>
    </row>
    <row r="1404" spans="3:12" hidden="1" x14ac:dyDescent="0.35">
      <c r="C1404" s="80"/>
      <c r="K1404" s="81">
        <f>SUM(Table1[[#This Row],[Technical Knowledge]:[Repeat job nahin aana]])/6</f>
        <v>0</v>
      </c>
      <c r="L1404" s="79" t="str">
        <f>IFERROR(AVERAGEIFS(Table1[Final Score],Table1[Month],Table1[[#This Row],[Month]],Table1[Year],Table1[[#This Row],[Year]],Table1[Mechanic Name],Table1[[#This Row],[Mechanic Name]]),"")</f>
        <v/>
      </c>
    </row>
    <row r="1405" spans="3:12" hidden="1" x14ac:dyDescent="0.35">
      <c r="C1405" s="80"/>
      <c r="K1405" s="81">
        <f>SUM(Table1[[#This Row],[Technical Knowledge]:[Repeat job nahin aana]])/6</f>
        <v>0</v>
      </c>
      <c r="L1405" s="79" t="str">
        <f>IFERROR(AVERAGEIFS(Table1[Final Score],Table1[Month],Table1[[#This Row],[Month]],Table1[Year],Table1[[#This Row],[Year]],Table1[Mechanic Name],Table1[[#This Row],[Mechanic Name]]),"")</f>
        <v/>
      </c>
    </row>
    <row r="1406" spans="3:12" hidden="1" x14ac:dyDescent="0.35">
      <c r="C1406" s="80"/>
      <c r="K1406" s="81">
        <f>SUM(Table1[[#This Row],[Technical Knowledge]:[Repeat job nahin aana]])/6</f>
        <v>0</v>
      </c>
      <c r="L1406" s="79" t="str">
        <f>IFERROR(AVERAGEIFS(Table1[Final Score],Table1[Month],Table1[[#This Row],[Month]],Table1[Year],Table1[[#This Row],[Year]],Table1[Mechanic Name],Table1[[#This Row],[Mechanic Name]]),"")</f>
        <v/>
      </c>
    </row>
    <row r="1407" spans="3:12" hidden="1" x14ac:dyDescent="0.35">
      <c r="C1407" s="80"/>
      <c r="K1407" s="81">
        <f>SUM(Table1[[#This Row],[Technical Knowledge]:[Repeat job nahin aana]])/6</f>
        <v>0</v>
      </c>
      <c r="L1407" s="79" t="str">
        <f>IFERROR(AVERAGEIFS(Table1[Final Score],Table1[Month],Table1[[#This Row],[Month]],Table1[Year],Table1[[#This Row],[Year]],Table1[Mechanic Name],Table1[[#This Row],[Mechanic Name]]),"")</f>
        <v/>
      </c>
    </row>
    <row r="1408" spans="3:12" hidden="1" x14ac:dyDescent="0.35">
      <c r="C1408" s="80"/>
      <c r="K1408" s="81">
        <f>SUM(Table1[[#This Row],[Technical Knowledge]:[Repeat job nahin aana]])/6</f>
        <v>0</v>
      </c>
      <c r="L1408" s="79" t="str">
        <f>IFERROR(AVERAGEIFS(Table1[Final Score],Table1[Month],Table1[[#This Row],[Month]],Table1[Year],Table1[[#This Row],[Year]],Table1[Mechanic Name],Table1[[#This Row],[Mechanic Name]]),"")</f>
        <v/>
      </c>
    </row>
    <row r="1409" spans="3:12" hidden="1" x14ac:dyDescent="0.35">
      <c r="C1409" s="80"/>
      <c r="K1409" s="81">
        <f>SUM(Table1[[#This Row],[Technical Knowledge]:[Repeat job nahin aana]])/6</f>
        <v>0</v>
      </c>
      <c r="L1409" s="79" t="str">
        <f>IFERROR(AVERAGEIFS(Table1[Final Score],Table1[Month],Table1[[#This Row],[Month]],Table1[Year],Table1[[#This Row],[Year]],Table1[Mechanic Name],Table1[[#This Row],[Mechanic Name]]),"")</f>
        <v/>
      </c>
    </row>
    <row r="1410" spans="3:12" hidden="1" x14ac:dyDescent="0.35">
      <c r="C1410" s="80"/>
      <c r="K1410" s="81">
        <f>SUM(Table1[[#This Row],[Technical Knowledge]:[Repeat job nahin aana]])/6</f>
        <v>0</v>
      </c>
      <c r="L1410" s="79" t="str">
        <f>IFERROR(AVERAGEIFS(Table1[Final Score],Table1[Month],Table1[[#This Row],[Month]],Table1[Year],Table1[[#This Row],[Year]],Table1[Mechanic Name],Table1[[#This Row],[Mechanic Name]]),"")</f>
        <v/>
      </c>
    </row>
    <row r="1411" spans="3:12" hidden="1" x14ac:dyDescent="0.35">
      <c r="C1411" s="80"/>
      <c r="K1411" s="81">
        <f>SUM(Table1[[#This Row],[Technical Knowledge]:[Repeat job nahin aana]])/6</f>
        <v>0</v>
      </c>
      <c r="L1411" s="79" t="str">
        <f>IFERROR(AVERAGEIFS(Table1[Final Score],Table1[Month],Table1[[#This Row],[Month]],Table1[Year],Table1[[#This Row],[Year]],Table1[Mechanic Name],Table1[[#This Row],[Mechanic Name]]),"")</f>
        <v/>
      </c>
    </row>
    <row r="1412" spans="3:12" hidden="1" x14ac:dyDescent="0.35">
      <c r="C1412" s="80"/>
      <c r="K1412" s="81">
        <f>SUM(Table1[[#This Row],[Technical Knowledge]:[Repeat job nahin aana]])/6</f>
        <v>0</v>
      </c>
      <c r="L1412" s="79" t="str">
        <f>IFERROR(AVERAGEIFS(Table1[Final Score],Table1[Month],Table1[[#This Row],[Month]],Table1[Year],Table1[[#This Row],[Year]],Table1[Mechanic Name],Table1[[#This Row],[Mechanic Name]]),"")</f>
        <v/>
      </c>
    </row>
    <row r="1413" spans="3:12" hidden="1" x14ac:dyDescent="0.35">
      <c r="C1413" s="80"/>
      <c r="K1413" s="81">
        <f>SUM(Table1[[#This Row],[Technical Knowledge]:[Repeat job nahin aana]])/6</f>
        <v>0</v>
      </c>
      <c r="L1413" s="79" t="str">
        <f>IFERROR(AVERAGEIFS(Table1[Final Score],Table1[Month],Table1[[#This Row],[Month]],Table1[Year],Table1[[#This Row],[Year]],Table1[Mechanic Name],Table1[[#This Row],[Mechanic Name]]),"")</f>
        <v/>
      </c>
    </row>
    <row r="1414" spans="3:12" hidden="1" x14ac:dyDescent="0.35">
      <c r="C1414" s="80"/>
      <c r="K1414" s="81">
        <f>SUM(Table1[[#This Row],[Technical Knowledge]:[Repeat job nahin aana]])/6</f>
        <v>0</v>
      </c>
      <c r="L1414" s="79" t="str">
        <f>IFERROR(AVERAGEIFS(Table1[Final Score],Table1[Month],Table1[[#This Row],[Month]],Table1[Year],Table1[[#This Row],[Year]],Table1[Mechanic Name],Table1[[#This Row],[Mechanic Name]]),"")</f>
        <v/>
      </c>
    </row>
    <row r="1415" spans="3:12" hidden="1" x14ac:dyDescent="0.35">
      <c r="C1415" s="80"/>
      <c r="K1415" s="81">
        <f>SUM(Table1[[#This Row],[Technical Knowledge]:[Repeat job nahin aana]])/6</f>
        <v>0</v>
      </c>
      <c r="L1415" s="79" t="str">
        <f>IFERROR(AVERAGEIFS(Table1[Final Score],Table1[Month],Table1[[#This Row],[Month]],Table1[Year],Table1[[#This Row],[Year]],Table1[Mechanic Name],Table1[[#This Row],[Mechanic Name]]),"")</f>
        <v/>
      </c>
    </row>
    <row r="1416" spans="3:12" hidden="1" x14ac:dyDescent="0.35">
      <c r="C1416" s="80"/>
      <c r="K1416" s="81">
        <f>SUM(Table1[[#This Row],[Technical Knowledge]:[Repeat job nahin aana]])/6</f>
        <v>0</v>
      </c>
      <c r="L1416" s="79" t="str">
        <f>IFERROR(AVERAGEIFS(Table1[Final Score],Table1[Month],Table1[[#This Row],[Month]],Table1[Year],Table1[[#This Row],[Year]],Table1[Mechanic Name],Table1[[#This Row],[Mechanic Name]]),"")</f>
        <v/>
      </c>
    </row>
    <row r="1417" spans="3:12" hidden="1" x14ac:dyDescent="0.35">
      <c r="C1417" s="80"/>
      <c r="K1417" s="81">
        <f>SUM(Table1[[#This Row],[Technical Knowledge]:[Repeat job nahin aana]])/6</f>
        <v>0</v>
      </c>
      <c r="L1417" s="79" t="str">
        <f>IFERROR(AVERAGEIFS(Table1[Final Score],Table1[Month],Table1[[#This Row],[Month]],Table1[Year],Table1[[#This Row],[Year]],Table1[Mechanic Name],Table1[[#This Row],[Mechanic Name]]),"")</f>
        <v/>
      </c>
    </row>
    <row r="1418" spans="3:12" hidden="1" x14ac:dyDescent="0.35">
      <c r="C1418" s="80"/>
      <c r="K1418" s="81">
        <f>SUM(Table1[[#This Row],[Technical Knowledge]:[Repeat job nahin aana]])/6</f>
        <v>0</v>
      </c>
      <c r="L1418" s="79" t="str">
        <f>IFERROR(AVERAGEIFS(Table1[Final Score],Table1[Month],Table1[[#This Row],[Month]],Table1[Year],Table1[[#This Row],[Year]],Table1[Mechanic Name],Table1[[#This Row],[Mechanic Name]]),"")</f>
        <v/>
      </c>
    </row>
    <row r="1419" spans="3:12" hidden="1" x14ac:dyDescent="0.35">
      <c r="C1419" s="80"/>
      <c r="K1419" s="81">
        <f>SUM(Table1[[#This Row],[Technical Knowledge]:[Repeat job nahin aana]])/6</f>
        <v>0</v>
      </c>
      <c r="L1419" s="79" t="str">
        <f>IFERROR(AVERAGEIFS(Table1[Final Score],Table1[Month],Table1[[#This Row],[Month]],Table1[Year],Table1[[#This Row],[Year]],Table1[Mechanic Name],Table1[[#This Row],[Mechanic Name]]),"")</f>
        <v/>
      </c>
    </row>
    <row r="1420" spans="3:12" hidden="1" x14ac:dyDescent="0.35">
      <c r="C1420" s="80"/>
      <c r="K1420" s="81">
        <f>SUM(Table1[[#This Row],[Technical Knowledge]:[Repeat job nahin aana]])/6</f>
        <v>0</v>
      </c>
      <c r="L1420" s="79" t="str">
        <f>IFERROR(AVERAGEIFS(Table1[Final Score],Table1[Month],Table1[[#This Row],[Month]],Table1[Year],Table1[[#This Row],[Year]],Table1[Mechanic Name],Table1[[#This Row],[Mechanic Name]]),"")</f>
        <v/>
      </c>
    </row>
    <row r="1421" spans="3:12" hidden="1" x14ac:dyDescent="0.35">
      <c r="C1421" s="80"/>
      <c r="K1421" s="81">
        <f>SUM(Table1[[#This Row],[Technical Knowledge]:[Repeat job nahin aana]])/6</f>
        <v>0</v>
      </c>
      <c r="L1421" s="79" t="str">
        <f>IFERROR(AVERAGEIFS(Table1[Final Score],Table1[Month],Table1[[#This Row],[Month]],Table1[Year],Table1[[#This Row],[Year]],Table1[Mechanic Name],Table1[[#This Row],[Mechanic Name]]),"")</f>
        <v/>
      </c>
    </row>
    <row r="1422" spans="3:12" hidden="1" x14ac:dyDescent="0.35">
      <c r="C1422" s="80"/>
      <c r="K1422" s="81">
        <f>SUM(Table1[[#This Row],[Technical Knowledge]:[Repeat job nahin aana]])/6</f>
        <v>0</v>
      </c>
      <c r="L1422" s="79" t="str">
        <f>IFERROR(AVERAGEIFS(Table1[Final Score],Table1[Month],Table1[[#This Row],[Month]],Table1[Year],Table1[[#This Row],[Year]],Table1[Mechanic Name],Table1[[#This Row],[Mechanic Name]]),"")</f>
        <v/>
      </c>
    </row>
    <row r="1423" spans="3:12" hidden="1" x14ac:dyDescent="0.35">
      <c r="C1423" s="80"/>
      <c r="K1423" s="81">
        <f>SUM(Table1[[#This Row],[Technical Knowledge]:[Repeat job nahin aana]])/6</f>
        <v>0</v>
      </c>
      <c r="L1423" s="79" t="str">
        <f>IFERROR(AVERAGEIFS(Table1[Final Score],Table1[Month],Table1[[#This Row],[Month]],Table1[Year],Table1[[#This Row],[Year]],Table1[Mechanic Name],Table1[[#This Row],[Mechanic Name]]),"")</f>
        <v/>
      </c>
    </row>
    <row r="1424" spans="3:12" hidden="1" x14ac:dyDescent="0.35">
      <c r="C1424" s="80"/>
      <c r="K1424" s="81">
        <f>SUM(Table1[[#This Row],[Technical Knowledge]:[Repeat job nahin aana]])/6</f>
        <v>0</v>
      </c>
      <c r="L1424" s="79" t="str">
        <f>IFERROR(AVERAGEIFS(Table1[Final Score],Table1[Month],Table1[[#This Row],[Month]],Table1[Year],Table1[[#This Row],[Year]],Table1[Mechanic Name],Table1[[#This Row],[Mechanic Name]]),"")</f>
        <v/>
      </c>
    </row>
    <row r="1425" spans="3:12" hidden="1" x14ac:dyDescent="0.35">
      <c r="C1425" s="80"/>
      <c r="K1425" s="81">
        <f>SUM(Table1[[#This Row],[Technical Knowledge]:[Repeat job nahin aana]])/6</f>
        <v>0</v>
      </c>
      <c r="L1425" s="79" t="str">
        <f>IFERROR(AVERAGEIFS(Table1[Final Score],Table1[Month],Table1[[#This Row],[Month]],Table1[Year],Table1[[#This Row],[Year]],Table1[Mechanic Name],Table1[[#This Row],[Mechanic Name]]),"")</f>
        <v/>
      </c>
    </row>
    <row r="1426" spans="3:12" hidden="1" x14ac:dyDescent="0.35">
      <c r="C1426" s="80"/>
      <c r="K1426" s="81">
        <f>SUM(Table1[[#This Row],[Technical Knowledge]:[Repeat job nahin aana]])/6</f>
        <v>0</v>
      </c>
      <c r="L1426" s="79" t="str">
        <f>IFERROR(AVERAGEIFS(Table1[Final Score],Table1[Month],Table1[[#This Row],[Month]],Table1[Year],Table1[[#This Row],[Year]],Table1[Mechanic Name],Table1[[#This Row],[Mechanic Name]]),"")</f>
        <v/>
      </c>
    </row>
    <row r="1427" spans="3:12" hidden="1" x14ac:dyDescent="0.35">
      <c r="C1427" s="80"/>
      <c r="K1427" s="81">
        <f>SUM(Table1[[#This Row],[Technical Knowledge]:[Repeat job nahin aana]])/6</f>
        <v>0</v>
      </c>
      <c r="L1427" s="79" t="str">
        <f>IFERROR(AVERAGEIFS(Table1[Final Score],Table1[Month],Table1[[#This Row],[Month]],Table1[Year],Table1[[#This Row],[Year]],Table1[Mechanic Name],Table1[[#This Row],[Mechanic Name]]),"")</f>
        <v/>
      </c>
    </row>
    <row r="1428" spans="3:12" hidden="1" x14ac:dyDescent="0.35">
      <c r="C1428" s="80"/>
      <c r="K1428" s="81">
        <f>SUM(Table1[[#This Row],[Technical Knowledge]:[Repeat job nahin aana]])/6</f>
        <v>0</v>
      </c>
      <c r="L1428" s="79" t="str">
        <f>IFERROR(AVERAGEIFS(Table1[Final Score],Table1[Month],Table1[[#This Row],[Month]],Table1[Year],Table1[[#This Row],[Year]],Table1[Mechanic Name],Table1[[#This Row],[Mechanic Name]]),"")</f>
        <v/>
      </c>
    </row>
    <row r="1429" spans="3:12" hidden="1" x14ac:dyDescent="0.35">
      <c r="C1429" s="80"/>
      <c r="K1429" s="81">
        <f>SUM(Table1[[#This Row],[Technical Knowledge]:[Repeat job nahin aana]])/6</f>
        <v>0</v>
      </c>
      <c r="L1429" s="79" t="str">
        <f>IFERROR(AVERAGEIFS(Table1[Final Score],Table1[Month],Table1[[#This Row],[Month]],Table1[Year],Table1[[#This Row],[Year]],Table1[Mechanic Name],Table1[[#This Row],[Mechanic Name]]),"")</f>
        <v/>
      </c>
    </row>
    <row r="1430" spans="3:12" hidden="1" x14ac:dyDescent="0.35">
      <c r="C1430" s="80"/>
      <c r="K1430" s="81">
        <f>SUM(Table1[[#This Row],[Technical Knowledge]:[Repeat job nahin aana]])/6</f>
        <v>0</v>
      </c>
      <c r="L1430" s="79" t="str">
        <f>IFERROR(AVERAGEIFS(Table1[Final Score],Table1[Month],Table1[[#This Row],[Month]],Table1[Year],Table1[[#This Row],[Year]],Table1[Mechanic Name],Table1[[#This Row],[Mechanic Name]]),"")</f>
        <v/>
      </c>
    </row>
    <row r="1431" spans="3:12" hidden="1" x14ac:dyDescent="0.35">
      <c r="C1431" s="80"/>
      <c r="K1431" s="81">
        <f>SUM(Table1[[#This Row],[Technical Knowledge]:[Repeat job nahin aana]])/6</f>
        <v>0</v>
      </c>
      <c r="L1431" s="79" t="str">
        <f>IFERROR(AVERAGEIFS(Table1[Final Score],Table1[Month],Table1[[#This Row],[Month]],Table1[Year],Table1[[#This Row],[Year]],Table1[Mechanic Name],Table1[[#This Row],[Mechanic Name]]),"")</f>
        <v/>
      </c>
    </row>
    <row r="1432" spans="3:12" hidden="1" x14ac:dyDescent="0.35">
      <c r="C1432" s="80"/>
      <c r="K1432" s="81">
        <f>SUM(Table1[[#This Row],[Technical Knowledge]:[Repeat job nahin aana]])/6</f>
        <v>0</v>
      </c>
      <c r="L1432" s="79" t="str">
        <f>IFERROR(AVERAGEIFS(Table1[Final Score],Table1[Month],Table1[[#This Row],[Month]],Table1[Year],Table1[[#This Row],[Year]],Table1[Mechanic Name],Table1[[#This Row],[Mechanic Name]]),"")</f>
        <v/>
      </c>
    </row>
    <row r="1433" spans="3:12" hidden="1" x14ac:dyDescent="0.35">
      <c r="C1433" s="80"/>
      <c r="K1433" s="81">
        <f>SUM(Table1[[#This Row],[Technical Knowledge]:[Repeat job nahin aana]])/6</f>
        <v>0</v>
      </c>
      <c r="L1433" s="79" t="str">
        <f>IFERROR(AVERAGEIFS(Table1[Final Score],Table1[Month],Table1[[#This Row],[Month]],Table1[Year],Table1[[#This Row],[Year]],Table1[Mechanic Name],Table1[[#This Row],[Mechanic Name]]),"")</f>
        <v/>
      </c>
    </row>
    <row r="1434" spans="3:12" hidden="1" x14ac:dyDescent="0.35">
      <c r="C1434" s="80"/>
      <c r="K1434" s="81">
        <f>SUM(Table1[[#This Row],[Technical Knowledge]:[Repeat job nahin aana]])/6</f>
        <v>0</v>
      </c>
      <c r="L1434" s="79" t="str">
        <f>IFERROR(AVERAGEIFS(Table1[Final Score],Table1[Month],Table1[[#This Row],[Month]],Table1[Year],Table1[[#This Row],[Year]],Table1[Mechanic Name],Table1[[#This Row],[Mechanic Name]]),"")</f>
        <v/>
      </c>
    </row>
    <row r="1435" spans="3:12" hidden="1" x14ac:dyDescent="0.35">
      <c r="C1435" s="80"/>
      <c r="K1435" s="81">
        <f>SUM(Table1[[#This Row],[Technical Knowledge]:[Repeat job nahin aana]])/6</f>
        <v>0</v>
      </c>
      <c r="L1435" s="79" t="str">
        <f>IFERROR(AVERAGEIFS(Table1[Final Score],Table1[Month],Table1[[#This Row],[Month]],Table1[Year],Table1[[#This Row],[Year]],Table1[Mechanic Name],Table1[[#This Row],[Mechanic Name]]),"")</f>
        <v/>
      </c>
    </row>
    <row r="1436" spans="3:12" hidden="1" x14ac:dyDescent="0.35">
      <c r="C1436" s="80"/>
      <c r="K1436" s="81">
        <f>SUM(Table1[[#This Row],[Technical Knowledge]:[Repeat job nahin aana]])/6</f>
        <v>0</v>
      </c>
      <c r="L1436" s="79" t="str">
        <f>IFERROR(AVERAGEIFS(Table1[Final Score],Table1[Month],Table1[[#This Row],[Month]],Table1[Year],Table1[[#This Row],[Year]],Table1[Mechanic Name],Table1[[#This Row],[Mechanic Name]]),"")</f>
        <v/>
      </c>
    </row>
    <row r="1437" spans="3:12" hidden="1" x14ac:dyDescent="0.35">
      <c r="C1437" s="80"/>
      <c r="K1437" s="81">
        <f>SUM(Table1[[#This Row],[Technical Knowledge]:[Repeat job nahin aana]])/6</f>
        <v>0</v>
      </c>
      <c r="L1437" s="79" t="str">
        <f>IFERROR(AVERAGEIFS(Table1[Final Score],Table1[Month],Table1[[#This Row],[Month]],Table1[Year],Table1[[#This Row],[Year]],Table1[Mechanic Name],Table1[[#This Row],[Mechanic Name]]),"")</f>
        <v/>
      </c>
    </row>
    <row r="1438" spans="3:12" hidden="1" x14ac:dyDescent="0.35">
      <c r="C1438" s="80"/>
      <c r="K1438" s="81">
        <f>SUM(Table1[[#This Row],[Technical Knowledge]:[Repeat job nahin aana]])/6</f>
        <v>0</v>
      </c>
      <c r="L1438" s="79" t="str">
        <f>IFERROR(AVERAGEIFS(Table1[Final Score],Table1[Month],Table1[[#This Row],[Month]],Table1[Year],Table1[[#This Row],[Year]],Table1[Mechanic Name],Table1[[#This Row],[Mechanic Name]]),"")</f>
        <v/>
      </c>
    </row>
    <row r="1439" spans="3:12" hidden="1" x14ac:dyDescent="0.35">
      <c r="C1439" s="80"/>
      <c r="K1439" s="81">
        <f>SUM(Table1[[#This Row],[Technical Knowledge]:[Repeat job nahin aana]])/6</f>
        <v>0</v>
      </c>
      <c r="L1439" s="79" t="str">
        <f>IFERROR(AVERAGEIFS(Table1[Final Score],Table1[Month],Table1[[#This Row],[Month]],Table1[Year],Table1[[#This Row],[Year]],Table1[Mechanic Name],Table1[[#This Row],[Mechanic Name]]),"")</f>
        <v/>
      </c>
    </row>
    <row r="1440" spans="3:12" hidden="1" x14ac:dyDescent="0.35">
      <c r="C1440" s="80"/>
      <c r="K1440" s="81">
        <f>SUM(Table1[[#This Row],[Technical Knowledge]:[Repeat job nahin aana]])/6</f>
        <v>0</v>
      </c>
      <c r="L1440" s="79" t="str">
        <f>IFERROR(AVERAGEIFS(Table1[Final Score],Table1[Month],Table1[[#This Row],[Month]],Table1[Year],Table1[[#This Row],[Year]],Table1[Mechanic Name],Table1[[#This Row],[Mechanic Name]]),"")</f>
        <v/>
      </c>
    </row>
    <row r="1441" spans="3:12" hidden="1" x14ac:dyDescent="0.35">
      <c r="C1441" s="80"/>
      <c r="K1441" s="81">
        <f>SUM(Table1[[#This Row],[Technical Knowledge]:[Repeat job nahin aana]])/6</f>
        <v>0</v>
      </c>
      <c r="L1441" s="79" t="str">
        <f>IFERROR(AVERAGEIFS(Table1[Final Score],Table1[Month],Table1[[#This Row],[Month]],Table1[Year],Table1[[#This Row],[Year]],Table1[Mechanic Name],Table1[[#This Row],[Mechanic Name]]),"")</f>
        <v/>
      </c>
    </row>
    <row r="1442" spans="3:12" hidden="1" x14ac:dyDescent="0.35">
      <c r="C1442" s="80"/>
      <c r="K1442" s="81">
        <f>SUM(Table1[[#This Row],[Technical Knowledge]:[Repeat job nahin aana]])/6</f>
        <v>0</v>
      </c>
      <c r="L1442" s="79" t="str">
        <f>IFERROR(AVERAGEIFS(Table1[Final Score],Table1[Month],Table1[[#This Row],[Month]],Table1[Year],Table1[[#This Row],[Year]],Table1[Mechanic Name],Table1[[#This Row],[Mechanic Name]]),"")</f>
        <v/>
      </c>
    </row>
    <row r="1443" spans="3:12" hidden="1" x14ac:dyDescent="0.35">
      <c r="C1443" s="80"/>
      <c r="K1443" s="81">
        <f>SUM(Table1[[#This Row],[Technical Knowledge]:[Repeat job nahin aana]])/6</f>
        <v>0</v>
      </c>
      <c r="L1443" s="79" t="str">
        <f>IFERROR(AVERAGEIFS(Table1[Final Score],Table1[Month],Table1[[#This Row],[Month]],Table1[Year],Table1[[#This Row],[Year]],Table1[Mechanic Name],Table1[[#This Row],[Mechanic Name]]),"")</f>
        <v/>
      </c>
    </row>
    <row r="1444" spans="3:12" hidden="1" x14ac:dyDescent="0.35">
      <c r="C1444" s="80"/>
      <c r="K1444" s="81">
        <f>SUM(Table1[[#This Row],[Technical Knowledge]:[Repeat job nahin aana]])/6</f>
        <v>0</v>
      </c>
      <c r="L1444" s="79" t="str">
        <f>IFERROR(AVERAGEIFS(Table1[Final Score],Table1[Month],Table1[[#This Row],[Month]],Table1[Year],Table1[[#This Row],[Year]],Table1[Mechanic Name],Table1[[#This Row],[Mechanic Name]]),"")</f>
        <v/>
      </c>
    </row>
    <row r="1445" spans="3:12" hidden="1" x14ac:dyDescent="0.35">
      <c r="C1445" s="80"/>
      <c r="K1445" s="81">
        <f>SUM(Table1[[#This Row],[Technical Knowledge]:[Repeat job nahin aana]])/6</f>
        <v>0</v>
      </c>
      <c r="L1445" s="79" t="str">
        <f>IFERROR(AVERAGEIFS(Table1[Final Score],Table1[Month],Table1[[#This Row],[Month]],Table1[Year],Table1[[#This Row],[Year]],Table1[Mechanic Name],Table1[[#This Row],[Mechanic Name]]),"")</f>
        <v/>
      </c>
    </row>
    <row r="1446" spans="3:12" hidden="1" x14ac:dyDescent="0.35">
      <c r="C1446" s="80"/>
      <c r="K1446" s="81">
        <f>SUM(Table1[[#This Row],[Technical Knowledge]:[Repeat job nahin aana]])/6</f>
        <v>0</v>
      </c>
      <c r="L1446" s="79" t="str">
        <f>IFERROR(AVERAGEIFS(Table1[Final Score],Table1[Month],Table1[[#This Row],[Month]],Table1[Year],Table1[[#This Row],[Year]],Table1[Mechanic Name],Table1[[#This Row],[Mechanic Name]]),"")</f>
        <v/>
      </c>
    </row>
    <row r="1447" spans="3:12" hidden="1" x14ac:dyDescent="0.35">
      <c r="C1447" s="80"/>
      <c r="K1447" s="81">
        <f>SUM(Table1[[#This Row],[Technical Knowledge]:[Repeat job nahin aana]])/6</f>
        <v>0</v>
      </c>
      <c r="L1447" s="79" t="str">
        <f>IFERROR(AVERAGEIFS(Table1[Final Score],Table1[Month],Table1[[#This Row],[Month]],Table1[Year],Table1[[#This Row],[Year]],Table1[Mechanic Name],Table1[[#This Row],[Mechanic Name]]),"")</f>
        <v/>
      </c>
    </row>
    <row r="1448" spans="3:12" hidden="1" x14ac:dyDescent="0.35">
      <c r="C1448" s="80"/>
      <c r="K1448" s="81">
        <f>SUM(Table1[[#This Row],[Technical Knowledge]:[Repeat job nahin aana]])/6</f>
        <v>0</v>
      </c>
      <c r="L1448" s="79" t="str">
        <f>IFERROR(AVERAGEIFS(Table1[Final Score],Table1[Month],Table1[[#This Row],[Month]],Table1[Year],Table1[[#This Row],[Year]],Table1[Mechanic Name],Table1[[#This Row],[Mechanic Name]]),"")</f>
        <v/>
      </c>
    </row>
    <row r="1449" spans="3:12" hidden="1" x14ac:dyDescent="0.35">
      <c r="C1449" s="80"/>
      <c r="K1449" s="81">
        <f>SUM(Table1[[#This Row],[Technical Knowledge]:[Repeat job nahin aana]])/6</f>
        <v>0</v>
      </c>
      <c r="L1449" s="79" t="str">
        <f>IFERROR(AVERAGEIFS(Table1[Final Score],Table1[Month],Table1[[#This Row],[Month]],Table1[Year],Table1[[#This Row],[Year]],Table1[Mechanic Name],Table1[[#This Row],[Mechanic Name]]),"")</f>
        <v/>
      </c>
    </row>
    <row r="1450" spans="3:12" hidden="1" x14ac:dyDescent="0.35">
      <c r="C1450" s="80"/>
      <c r="K1450" s="81">
        <f>SUM(Table1[[#This Row],[Technical Knowledge]:[Repeat job nahin aana]])/6</f>
        <v>0</v>
      </c>
      <c r="L1450" s="79" t="str">
        <f>IFERROR(AVERAGEIFS(Table1[Final Score],Table1[Month],Table1[[#This Row],[Month]],Table1[Year],Table1[[#This Row],[Year]],Table1[Mechanic Name],Table1[[#This Row],[Mechanic Name]]),"")</f>
        <v/>
      </c>
    </row>
    <row r="1451" spans="3:12" hidden="1" x14ac:dyDescent="0.35">
      <c r="C1451" s="80"/>
      <c r="K1451" s="81">
        <f>SUM(Table1[[#This Row],[Technical Knowledge]:[Repeat job nahin aana]])/6</f>
        <v>0</v>
      </c>
      <c r="L1451" s="79" t="str">
        <f>IFERROR(AVERAGEIFS(Table1[Final Score],Table1[Month],Table1[[#This Row],[Month]],Table1[Year],Table1[[#This Row],[Year]],Table1[Mechanic Name],Table1[[#This Row],[Mechanic Name]]),"")</f>
        <v/>
      </c>
    </row>
    <row r="1452" spans="3:12" hidden="1" x14ac:dyDescent="0.35">
      <c r="C1452" s="80"/>
      <c r="K1452" s="81">
        <f>SUM(Table1[[#This Row],[Technical Knowledge]:[Repeat job nahin aana]])/6</f>
        <v>0</v>
      </c>
      <c r="L1452" s="79" t="str">
        <f>IFERROR(AVERAGEIFS(Table1[Final Score],Table1[Month],Table1[[#This Row],[Month]],Table1[Year],Table1[[#This Row],[Year]],Table1[Mechanic Name],Table1[[#This Row],[Mechanic Name]]),"")</f>
        <v/>
      </c>
    </row>
    <row r="1453" spans="3:12" hidden="1" x14ac:dyDescent="0.35">
      <c r="C1453" s="80"/>
      <c r="K1453" s="81">
        <f>SUM(Table1[[#This Row],[Technical Knowledge]:[Repeat job nahin aana]])/6</f>
        <v>0</v>
      </c>
      <c r="L1453" s="79" t="str">
        <f>IFERROR(AVERAGEIFS(Table1[Final Score],Table1[Month],Table1[[#This Row],[Month]],Table1[Year],Table1[[#This Row],[Year]],Table1[Mechanic Name],Table1[[#This Row],[Mechanic Name]]),"")</f>
        <v/>
      </c>
    </row>
    <row r="1454" spans="3:12" hidden="1" x14ac:dyDescent="0.35">
      <c r="C1454" s="80"/>
      <c r="K1454" s="81">
        <f>SUM(Table1[[#This Row],[Technical Knowledge]:[Repeat job nahin aana]])/6</f>
        <v>0</v>
      </c>
      <c r="L1454" s="79" t="str">
        <f>IFERROR(AVERAGEIFS(Table1[Final Score],Table1[Month],Table1[[#This Row],[Month]],Table1[Year],Table1[[#This Row],[Year]],Table1[Mechanic Name],Table1[[#This Row],[Mechanic Name]]),"")</f>
        <v/>
      </c>
    </row>
    <row r="1455" spans="3:12" hidden="1" x14ac:dyDescent="0.35">
      <c r="C1455" s="80"/>
      <c r="K1455" s="81">
        <f>SUM(Table1[[#This Row],[Technical Knowledge]:[Repeat job nahin aana]])/6</f>
        <v>0</v>
      </c>
      <c r="L1455" s="79" t="str">
        <f>IFERROR(AVERAGEIFS(Table1[Final Score],Table1[Month],Table1[[#This Row],[Month]],Table1[Year],Table1[[#This Row],[Year]],Table1[Mechanic Name],Table1[[#This Row],[Mechanic Name]]),"")</f>
        <v/>
      </c>
    </row>
    <row r="1456" spans="3:12" hidden="1" x14ac:dyDescent="0.35">
      <c r="C1456" s="80"/>
      <c r="K1456" s="81">
        <f>SUM(Table1[[#This Row],[Technical Knowledge]:[Repeat job nahin aana]])/6</f>
        <v>0</v>
      </c>
      <c r="L1456" s="79" t="str">
        <f>IFERROR(AVERAGEIFS(Table1[Final Score],Table1[Month],Table1[[#This Row],[Month]],Table1[Year],Table1[[#This Row],[Year]],Table1[Mechanic Name],Table1[[#This Row],[Mechanic Name]]),"")</f>
        <v/>
      </c>
    </row>
    <row r="1457" spans="3:12" hidden="1" x14ac:dyDescent="0.35">
      <c r="C1457" s="80"/>
      <c r="K1457" s="81">
        <f>SUM(Table1[[#This Row],[Technical Knowledge]:[Repeat job nahin aana]])/6</f>
        <v>0</v>
      </c>
      <c r="L1457" s="79" t="str">
        <f>IFERROR(AVERAGEIFS(Table1[Final Score],Table1[Month],Table1[[#This Row],[Month]],Table1[Year],Table1[[#This Row],[Year]],Table1[Mechanic Name],Table1[[#This Row],[Mechanic Name]]),"")</f>
        <v/>
      </c>
    </row>
    <row r="1458" spans="3:12" hidden="1" x14ac:dyDescent="0.35">
      <c r="C1458" s="80"/>
      <c r="K1458" s="81">
        <f>SUM(Table1[[#This Row],[Technical Knowledge]:[Repeat job nahin aana]])/6</f>
        <v>0</v>
      </c>
      <c r="L1458" s="79" t="str">
        <f>IFERROR(AVERAGEIFS(Table1[Final Score],Table1[Month],Table1[[#This Row],[Month]],Table1[Year],Table1[[#This Row],[Year]],Table1[Mechanic Name],Table1[[#This Row],[Mechanic Name]]),"")</f>
        <v/>
      </c>
    </row>
    <row r="1459" spans="3:12" hidden="1" x14ac:dyDescent="0.35">
      <c r="C1459" s="80"/>
      <c r="K1459" s="81">
        <f>SUM(Table1[[#This Row],[Technical Knowledge]:[Repeat job nahin aana]])/6</f>
        <v>0</v>
      </c>
      <c r="L1459" s="79" t="str">
        <f>IFERROR(AVERAGEIFS(Table1[Final Score],Table1[Month],Table1[[#This Row],[Month]],Table1[Year],Table1[[#This Row],[Year]],Table1[Mechanic Name],Table1[[#This Row],[Mechanic Name]]),"")</f>
        <v/>
      </c>
    </row>
    <row r="1460" spans="3:12" hidden="1" x14ac:dyDescent="0.35">
      <c r="C1460" s="80"/>
      <c r="K1460" s="81">
        <f>SUM(Table1[[#This Row],[Technical Knowledge]:[Repeat job nahin aana]])/6</f>
        <v>0</v>
      </c>
      <c r="L1460" s="79" t="str">
        <f>IFERROR(AVERAGEIFS(Table1[Final Score],Table1[Month],Table1[[#This Row],[Month]],Table1[Year],Table1[[#This Row],[Year]],Table1[Mechanic Name],Table1[[#This Row],[Mechanic Name]]),"")</f>
        <v/>
      </c>
    </row>
    <row r="1461" spans="3:12" hidden="1" x14ac:dyDescent="0.35">
      <c r="C1461" s="80"/>
      <c r="K1461" s="81">
        <f>SUM(Table1[[#This Row],[Technical Knowledge]:[Repeat job nahin aana]])/6</f>
        <v>0</v>
      </c>
      <c r="L1461" s="79" t="str">
        <f>IFERROR(AVERAGEIFS(Table1[Final Score],Table1[Month],Table1[[#This Row],[Month]],Table1[Year],Table1[[#This Row],[Year]],Table1[Mechanic Name],Table1[[#This Row],[Mechanic Name]]),"")</f>
        <v/>
      </c>
    </row>
    <row r="1462" spans="3:12" hidden="1" x14ac:dyDescent="0.35">
      <c r="C1462" s="80"/>
      <c r="K1462" s="81">
        <f>SUM(Table1[[#This Row],[Technical Knowledge]:[Repeat job nahin aana]])/6</f>
        <v>0</v>
      </c>
      <c r="L1462" s="79" t="str">
        <f>IFERROR(AVERAGEIFS(Table1[Final Score],Table1[Month],Table1[[#This Row],[Month]],Table1[Year],Table1[[#This Row],[Year]],Table1[Mechanic Name],Table1[[#This Row],[Mechanic Name]]),"")</f>
        <v/>
      </c>
    </row>
    <row r="1463" spans="3:12" hidden="1" x14ac:dyDescent="0.35">
      <c r="C1463" s="80"/>
      <c r="K1463" s="81">
        <f>SUM(Table1[[#This Row],[Technical Knowledge]:[Repeat job nahin aana]])/6</f>
        <v>0</v>
      </c>
      <c r="L1463" s="79" t="str">
        <f>IFERROR(AVERAGEIFS(Table1[Final Score],Table1[Month],Table1[[#This Row],[Month]],Table1[Year],Table1[[#This Row],[Year]],Table1[Mechanic Name],Table1[[#This Row],[Mechanic Name]]),"")</f>
        <v/>
      </c>
    </row>
    <row r="1464" spans="3:12" hidden="1" x14ac:dyDescent="0.35">
      <c r="C1464" s="80"/>
      <c r="K1464" s="81">
        <f>SUM(Table1[[#This Row],[Technical Knowledge]:[Repeat job nahin aana]])/6</f>
        <v>0</v>
      </c>
      <c r="L1464" s="79" t="str">
        <f>IFERROR(AVERAGEIFS(Table1[Final Score],Table1[Month],Table1[[#This Row],[Month]],Table1[Year],Table1[[#This Row],[Year]],Table1[Mechanic Name],Table1[[#This Row],[Mechanic Name]]),"")</f>
        <v/>
      </c>
    </row>
    <row r="1465" spans="3:12" hidden="1" x14ac:dyDescent="0.35">
      <c r="C1465" s="80"/>
      <c r="K1465" s="81">
        <f>SUM(Table1[[#This Row],[Technical Knowledge]:[Repeat job nahin aana]])/6</f>
        <v>0</v>
      </c>
      <c r="L1465" s="79" t="str">
        <f>IFERROR(AVERAGEIFS(Table1[Final Score],Table1[Month],Table1[[#This Row],[Month]],Table1[Year],Table1[[#This Row],[Year]],Table1[Mechanic Name],Table1[[#This Row],[Mechanic Name]]),"")</f>
        <v/>
      </c>
    </row>
    <row r="1466" spans="3:12" hidden="1" x14ac:dyDescent="0.35">
      <c r="C1466" s="80"/>
      <c r="K1466" s="81">
        <f>SUM(Table1[[#This Row],[Technical Knowledge]:[Repeat job nahin aana]])/6</f>
        <v>0</v>
      </c>
      <c r="L1466" s="79" t="str">
        <f>IFERROR(AVERAGEIFS(Table1[Final Score],Table1[Month],Table1[[#This Row],[Month]],Table1[Year],Table1[[#This Row],[Year]],Table1[Mechanic Name],Table1[[#This Row],[Mechanic Name]]),"")</f>
        <v/>
      </c>
    </row>
    <row r="1467" spans="3:12" hidden="1" x14ac:dyDescent="0.35">
      <c r="C1467" s="80"/>
      <c r="K1467" s="81">
        <f>SUM(Table1[[#This Row],[Technical Knowledge]:[Repeat job nahin aana]])/6</f>
        <v>0</v>
      </c>
      <c r="L1467" s="79" t="str">
        <f>IFERROR(AVERAGEIFS(Table1[Final Score],Table1[Month],Table1[[#This Row],[Month]],Table1[Year],Table1[[#This Row],[Year]],Table1[Mechanic Name],Table1[[#This Row],[Mechanic Name]]),"")</f>
        <v/>
      </c>
    </row>
    <row r="1468" spans="3:12" hidden="1" x14ac:dyDescent="0.35">
      <c r="C1468" s="80"/>
      <c r="K1468" s="81">
        <f>SUM(Table1[[#This Row],[Technical Knowledge]:[Repeat job nahin aana]])/6</f>
        <v>0</v>
      </c>
      <c r="L1468" s="79" t="str">
        <f>IFERROR(AVERAGEIFS(Table1[Final Score],Table1[Month],Table1[[#This Row],[Month]],Table1[Year],Table1[[#This Row],[Year]],Table1[Mechanic Name],Table1[[#This Row],[Mechanic Name]]),"")</f>
        <v/>
      </c>
    </row>
    <row r="1469" spans="3:12" hidden="1" x14ac:dyDescent="0.35">
      <c r="C1469" s="80"/>
      <c r="K1469" s="81">
        <f>SUM(Table1[[#This Row],[Technical Knowledge]:[Repeat job nahin aana]])/6</f>
        <v>0</v>
      </c>
      <c r="L1469" s="79" t="str">
        <f>IFERROR(AVERAGEIFS(Table1[Final Score],Table1[Month],Table1[[#This Row],[Month]],Table1[Year],Table1[[#This Row],[Year]],Table1[Mechanic Name],Table1[[#This Row],[Mechanic Name]]),"")</f>
        <v/>
      </c>
    </row>
    <row r="1470" spans="3:12" hidden="1" x14ac:dyDescent="0.35">
      <c r="C1470" s="80"/>
      <c r="K1470" s="81">
        <f>SUM(Table1[[#This Row],[Technical Knowledge]:[Repeat job nahin aana]])/6</f>
        <v>0</v>
      </c>
      <c r="L1470" s="79" t="str">
        <f>IFERROR(AVERAGEIFS(Table1[Final Score],Table1[Month],Table1[[#This Row],[Month]],Table1[Year],Table1[[#This Row],[Year]],Table1[Mechanic Name],Table1[[#This Row],[Mechanic Name]]),"")</f>
        <v/>
      </c>
    </row>
    <row r="1471" spans="3:12" hidden="1" x14ac:dyDescent="0.35">
      <c r="C1471" s="80"/>
      <c r="K1471" s="81">
        <f>SUM(Table1[[#This Row],[Technical Knowledge]:[Repeat job nahin aana]])/6</f>
        <v>0</v>
      </c>
      <c r="L1471" s="79" t="str">
        <f>IFERROR(AVERAGEIFS(Table1[Final Score],Table1[Month],Table1[[#This Row],[Month]],Table1[Year],Table1[[#This Row],[Year]],Table1[Mechanic Name],Table1[[#This Row],[Mechanic Name]]),"")</f>
        <v/>
      </c>
    </row>
    <row r="1472" spans="3:12" hidden="1" x14ac:dyDescent="0.35">
      <c r="C1472" s="80"/>
      <c r="K1472" s="81">
        <f>SUM(Table1[[#This Row],[Technical Knowledge]:[Repeat job nahin aana]])/6</f>
        <v>0</v>
      </c>
      <c r="L1472" s="79" t="str">
        <f>IFERROR(AVERAGEIFS(Table1[Final Score],Table1[Month],Table1[[#This Row],[Month]],Table1[Year],Table1[[#This Row],[Year]],Table1[Mechanic Name],Table1[[#This Row],[Mechanic Name]]),"")</f>
        <v/>
      </c>
    </row>
    <row r="1473" spans="3:12" hidden="1" x14ac:dyDescent="0.35">
      <c r="C1473" s="80"/>
      <c r="K1473" s="81">
        <f>SUM(Table1[[#This Row],[Technical Knowledge]:[Repeat job nahin aana]])/6</f>
        <v>0</v>
      </c>
      <c r="L1473" s="79" t="str">
        <f>IFERROR(AVERAGEIFS(Table1[Final Score],Table1[Month],Table1[[#This Row],[Month]],Table1[Year],Table1[[#This Row],[Year]],Table1[Mechanic Name],Table1[[#This Row],[Mechanic Name]]),"")</f>
        <v/>
      </c>
    </row>
    <row r="1474" spans="3:12" hidden="1" x14ac:dyDescent="0.35">
      <c r="C1474" s="80"/>
      <c r="K1474" s="81">
        <f>SUM(Table1[[#This Row],[Technical Knowledge]:[Repeat job nahin aana]])/6</f>
        <v>0</v>
      </c>
      <c r="L1474" s="79" t="str">
        <f>IFERROR(AVERAGEIFS(Table1[Final Score],Table1[Month],Table1[[#This Row],[Month]],Table1[Year],Table1[[#This Row],[Year]],Table1[Mechanic Name],Table1[[#This Row],[Mechanic Name]]),"")</f>
        <v/>
      </c>
    </row>
    <row r="1475" spans="3:12" hidden="1" x14ac:dyDescent="0.35">
      <c r="C1475" s="80"/>
      <c r="K1475" s="81">
        <f>SUM(Table1[[#This Row],[Technical Knowledge]:[Repeat job nahin aana]])/6</f>
        <v>0</v>
      </c>
      <c r="L1475" s="79" t="str">
        <f>IFERROR(AVERAGEIFS(Table1[Final Score],Table1[Month],Table1[[#This Row],[Month]],Table1[Year],Table1[[#This Row],[Year]],Table1[Mechanic Name],Table1[[#This Row],[Mechanic Name]]),"")</f>
        <v/>
      </c>
    </row>
    <row r="1476" spans="3:12" hidden="1" x14ac:dyDescent="0.35">
      <c r="C1476" s="80"/>
      <c r="K1476" s="81">
        <f>SUM(Table1[[#This Row],[Technical Knowledge]:[Repeat job nahin aana]])/6</f>
        <v>0</v>
      </c>
      <c r="L1476" s="79" t="str">
        <f>IFERROR(AVERAGEIFS(Table1[Final Score],Table1[Month],Table1[[#This Row],[Month]],Table1[Year],Table1[[#This Row],[Year]],Table1[Mechanic Name],Table1[[#This Row],[Mechanic Name]]),"")</f>
        <v/>
      </c>
    </row>
    <row r="1477" spans="3:12" hidden="1" x14ac:dyDescent="0.35">
      <c r="C1477" s="80"/>
      <c r="K1477" s="81">
        <f>SUM(Table1[[#This Row],[Technical Knowledge]:[Repeat job nahin aana]])/6</f>
        <v>0</v>
      </c>
      <c r="L1477" s="79" t="str">
        <f>IFERROR(AVERAGEIFS(Table1[Final Score],Table1[Month],Table1[[#This Row],[Month]],Table1[Year],Table1[[#This Row],[Year]],Table1[Mechanic Name],Table1[[#This Row],[Mechanic Name]]),"")</f>
        <v/>
      </c>
    </row>
    <row r="1478" spans="3:12" hidden="1" x14ac:dyDescent="0.35">
      <c r="C1478" s="80"/>
      <c r="K1478" s="81">
        <f>SUM(Table1[[#This Row],[Technical Knowledge]:[Repeat job nahin aana]])/6</f>
        <v>0</v>
      </c>
      <c r="L1478" s="79" t="str">
        <f>IFERROR(AVERAGEIFS(Table1[Final Score],Table1[Month],Table1[[#This Row],[Month]],Table1[Year],Table1[[#This Row],[Year]],Table1[Mechanic Name],Table1[[#This Row],[Mechanic Name]]),"")</f>
        <v/>
      </c>
    </row>
    <row r="1479" spans="3:12" hidden="1" x14ac:dyDescent="0.35">
      <c r="C1479" s="80"/>
      <c r="K1479" s="81">
        <f>SUM(Table1[[#This Row],[Technical Knowledge]:[Repeat job nahin aana]])/6</f>
        <v>0</v>
      </c>
      <c r="L1479" s="79" t="str">
        <f>IFERROR(AVERAGEIFS(Table1[Final Score],Table1[Month],Table1[[#This Row],[Month]],Table1[Year],Table1[[#This Row],[Year]],Table1[Mechanic Name],Table1[[#This Row],[Mechanic Name]]),"")</f>
        <v/>
      </c>
    </row>
    <row r="1480" spans="3:12" hidden="1" x14ac:dyDescent="0.35">
      <c r="C1480" s="80"/>
      <c r="K1480" s="81">
        <f>SUM(Table1[[#This Row],[Technical Knowledge]:[Repeat job nahin aana]])/6</f>
        <v>0</v>
      </c>
      <c r="L1480" s="79" t="str">
        <f>IFERROR(AVERAGEIFS(Table1[Final Score],Table1[Month],Table1[[#This Row],[Month]],Table1[Year],Table1[[#This Row],[Year]],Table1[Mechanic Name],Table1[[#This Row],[Mechanic Name]]),"")</f>
        <v/>
      </c>
    </row>
    <row r="1481" spans="3:12" hidden="1" x14ac:dyDescent="0.35">
      <c r="C1481" s="80"/>
      <c r="K1481" s="81">
        <f>SUM(Table1[[#This Row],[Technical Knowledge]:[Repeat job nahin aana]])/6</f>
        <v>0</v>
      </c>
      <c r="L1481" s="79" t="str">
        <f>IFERROR(AVERAGEIFS(Table1[Final Score],Table1[Month],Table1[[#This Row],[Month]],Table1[Year],Table1[[#This Row],[Year]],Table1[Mechanic Name],Table1[[#This Row],[Mechanic Name]]),"")</f>
        <v/>
      </c>
    </row>
    <row r="1482" spans="3:12" hidden="1" x14ac:dyDescent="0.35">
      <c r="C1482" s="80"/>
      <c r="K1482" s="81">
        <f>SUM(Table1[[#This Row],[Technical Knowledge]:[Repeat job nahin aana]])/6</f>
        <v>0</v>
      </c>
      <c r="L1482" s="79" t="str">
        <f>IFERROR(AVERAGEIFS(Table1[Final Score],Table1[Month],Table1[[#This Row],[Month]],Table1[Year],Table1[[#This Row],[Year]],Table1[Mechanic Name],Table1[[#This Row],[Mechanic Name]]),"")</f>
        <v/>
      </c>
    </row>
    <row r="1483" spans="3:12" hidden="1" x14ac:dyDescent="0.35">
      <c r="C1483" s="80"/>
      <c r="K1483" s="81">
        <f>SUM(Table1[[#This Row],[Technical Knowledge]:[Repeat job nahin aana]])/6</f>
        <v>0</v>
      </c>
      <c r="L1483" s="79" t="str">
        <f>IFERROR(AVERAGEIFS(Table1[Final Score],Table1[Month],Table1[[#This Row],[Month]],Table1[Year],Table1[[#This Row],[Year]],Table1[Mechanic Name],Table1[[#This Row],[Mechanic Name]]),"")</f>
        <v/>
      </c>
    </row>
    <row r="1484" spans="3:12" hidden="1" x14ac:dyDescent="0.35">
      <c r="C1484" s="80"/>
      <c r="K1484" s="81">
        <f>SUM(Table1[[#This Row],[Technical Knowledge]:[Repeat job nahin aana]])/6</f>
        <v>0</v>
      </c>
      <c r="L1484" s="79" t="str">
        <f>IFERROR(AVERAGEIFS(Table1[Final Score],Table1[Month],Table1[[#This Row],[Month]],Table1[Year],Table1[[#This Row],[Year]],Table1[Mechanic Name],Table1[[#This Row],[Mechanic Name]]),"")</f>
        <v/>
      </c>
    </row>
    <row r="1485" spans="3:12" hidden="1" x14ac:dyDescent="0.35">
      <c r="C1485" s="80"/>
      <c r="K1485" s="81">
        <f>SUM(Table1[[#This Row],[Technical Knowledge]:[Repeat job nahin aana]])/6</f>
        <v>0</v>
      </c>
      <c r="L1485" s="79" t="str">
        <f>IFERROR(AVERAGEIFS(Table1[Final Score],Table1[Month],Table1[[#This Row],[Month]],Table1[Year],Table1[[#This Row],[Year]],Table1[Mechanic Name],Table1[[#This Row],[Mechanic Name]]),"")</f>
        <v/>
      </c>
    </row>
    <row r="1486" spans="3:12" hidden="1" x14ac:dyDescent="0.35">
      <c r="C1486" s="80"/>
      <c r="K1486" s="81">
        <f>SUM(Table1[[#This Row],[Technical Knowledge]:[Repeat job nahin aana]])/6</f>
        <v>0</v>
      </c>
      <c r="L1486" s="79" t="str">
        <f>IFERROR(AVERAGEIFS(Table1[Final Score],Table1[Month],Table1[[#This Row],[Month]],Table1[Year],Table1[[#This Row],[Year]],Table1[Mechanic Name],Table1[[#This Row],[Mechanic Name]]),"")</f>
        <v/>
      </c>
    </row>
    <row r="1487" spans="3:12" hidden="1" x14ac:dyDescent="0.35">
      <c r="C1487" s="80"/>
      <c r="K1487" s="81">
        <f>SUM(Table1[[#This Row],[Technical Knowledge]:[Repeat job nahin aana]])/6</f>
        <v>0</v>
      </c>
      <c r="L1487" s="79" t="str">
        <f>IFERROR(AVERAGEIFS(Table1[Final Score],Table1[Month],Table1[[#This Row],[Month]],Table1[Year],Table1[[#This Row],[Year]],Table1[Mechanic Name],Table1[[#This Row],[Mechanic Name]]),"")</f>
        <v/>
      </c>
    </row>
    <row r="1488" spans="3:12" hidden="1" x14ac:dyDescent="0.35">
      <c r="C1488" s="80"/>
      <c r="K1488" s="81">
        <f>SUM(Table1[[#This Row],[Technical Knowledge]:[Repeat job nahin aana]])/6</f>
        <v>0</v>
      </c>
      <c r="L1488" s="79" t="str">
        <f>IFERROR(AVERAGEIFS(Table1[Final Score],Table1[Month],Table1[[#This Row],[Month]],Table1[Year],Table1[[#This Row],[Year]],Table1[Mechanic Name],Table1[[#This Row],[Mechanic Name]]),"")</f>
        <v/>
      </c>
    </row>
    <row r="1489" spans="3:12" hidden="1" x14ac:dyDescent="0.35">
      <c r="C1489" s="80"/>
      <c r="K1489" s="81">
        <f>SUM(Table1[[#This Row],[Technical Knowledge]:[Repeat job nahin aana]])/6</f>
        <v>0</v>
      </c>
      <c r="L1489" s="79" t="str">
        <f>IFERROR(AVERAGEIFS(Table1[Final Score],Table1[Month],Table1[[#This Row],[Month]],Table1[Year],Table1[[#This Row],[Year]],Table1[Mechanic Name],Table1[[#This Row],[Mechanic Name]]),"")</f>
        <v/>
      </c>
    </row>
    <row r="1490" spans="3:12" hidden="1" x14ac:dyDescent="0.35">
      <c r="C1490" s="80"/>
      <c r="K1490" s="81">
        <f>SUM(Table1[[#This Row],[Technical Knowledge]:[Repeat job nahin aana]])/6</f>
        <v>0</v>
      </c>
      <c r="L1490" s="79" t="str">
        <f>IFERROR(AVERAGEIFS(Table1[Final Score],Table1[Month],Table1[[#This Row],[Month]],Table1[Year],Table1[[#This Row],[Year]],Table1[Mechanic Name],Table1[[#This Row],[Mechanic Name]]),"")</f>
        <v/>
      </c>
    </row>
    <row r="1491" spans="3:12" hidden="1" x14ac:dyDescent="0.35">
      <c r="C1491" s="80"/>
      <c r="K1491" s="81">
        <f>SUM(Table1[[#This Row],[Technical Knowledge]:[Repeat job nahin aana]])/6</f>
        <v>0</v>
      </c>
      <c r="L1491" s="79" t="str">
        <f>IFERROR(AVERAGEIFS(Table1[Final Score],Table1[Month],Table1[[#This Row],[Month]],Table1[Year],Table1[[#This Row],[Year]],Table1[Mechanic Name],Table1[[#This Row],[Mechanic Name]]),"")</f>
        <v/>
      </c>
    </row>
    <row r="1492" spans="3:12" hidden="1" x14ac:dyDescent="0.35">
      <c r="C1492" s="80"/>
      <c r="K1492" s="81">
        <f>SUM(Table1[[#This Row],[Technical Knowledge]:[Repeat job nahin aana]])/6</f>
        <v>0</v>
      </c>
      <c r="L1492" s="79" t="str">
        <f>IFERROR(AVERAGEIFS(Table1[Final Score],Table1[Month],Table1[[#This Row],[Month]],Table1[Year],Table1[[#This Row],[Year]],Table1[Mechanic Name],Table1[[#This Row],[Mechanic Name]]),"")</f>
        <v/>
      </c>
    </row>
    <row r="1493" spans="3:12" hidden="1" x14ac:dyDescent="0.35">
      <c r="C1493" s="80"/>
      <c r="K1493" s="81">
        <f>SUM(Table1[[#This Row],[Technical Knowledge]:[Repeat job nahin aana]])/6</f>
        <v>0</v>
      </c>
      <c r="L1493" s="79" t="str">
        <f>IFERROR(AVERAGEIFS(Table1[Final Score],Table1[Month],Table1[[#This Row],[Month]],Table1[Year],Table1[[#This Row],[Year]],Table1[Mechanic Name],Table1[[#This Row],[Mechanic Name]]),"")</f>
        <v/>
      </c>
    </row>
    <row r="1494" spans="3:12" hidden="1" x14ac:dyDescent="0.35">
      <c r="C1494" s="80"/>
      <c r="K1494" s="81">
        <f>SUM(Table1[[#This Row],[Technical Knowledge]:[Repeat job nahin aana]])/6</f>
        <v>0</v>
      </c>
      <c r="L1494" s="79" t="str">
        <f>IFERROR(AVERAGEIFS(Table1[Final Score],Table1[Month],Table1[[#This Row],[Month]],Table1[Year],Table1[[#This Row],[Year]],Table1[Mechanic Name],Table1[[#This Row],[Mechanic Name]]),"")</f>
        <v/>
      </c>
    </row>
    <row r="1495" spans="3:12" hidden="1" x14ac:dyDescent="0.35">
      <c r="C1495" s="80"/>
      <c r="K1495" s="81">
        <f>SUM(Table1[[#This Row],[Technical Knowledge]:[Repeat job nahin aana]])/6</f>
        <v>0</v>
      </c>
      <c r="L1495" s="79" t="str">
        <f>IFERROR(AVERAGEIFS(Table1[Final Score],Table1[Month],Table1[[#This Row],[Month]],Table1[Year],Table1[[#This Row],[Year]],Table1[Mechanic Name],Table1[[#This Row],[Mechanic Name]]),"")</f>
        <v/>
      </c>
    </row>
    <row r="1496" spans="3:12" hidden="1" x14ac:dyDescent="0.35">
      <c r="C1496" s="80"/>
      <c r="K1496" s="81">
        <f>SUM(Table1[[#This Row],[Technical Knowledge]:[Repeat job nahin aana]])/6</f>
        <v>0</v>
      </c>
      <c r="L1496" s="79" t="str">
        <f>IFERROR(AVERAGEIFS(Table1[Final Score],Table1[Month],Table1[[#This Row],[Month]],Table1[Year],Table1[[#This Row],[Year]],Table1[Mechanic Name],Table1[[#This Row],[Mechanic Name]]),"")</f>
        <v/>
      </c>
    </row>
    <row r="1497" spans="3:12" hidden="1" x14ac:dyDescent="0.35">
      <c r="C1497" s="80"/>
      <c r="K1497" s="81">
        <f>SUM(Table1[[#This Row],[Technical Knowledge]:[Repeat job nahin aana]])/6</f>
        <v>0</v>
      </c>
      <c r="L1497" s="79" t="str">
        <f>IFERROR(AVERAGEIFS(Table1[Final Score],Table1[Month],Table1[[#This Row],[Month]],Table1[Year],Table1[[#This Row],[Year]],Table1[Mechanic Name],Table1[[#This Row],[Mechanic Name]]),"")</f>
        <v/>
      </c>
    </row>
    <row r="1498" spans="3:12" hidden="1" x14ac:dyDescent="0.35">
      <c r="C1498" s="80"/>
      <c r="K1498" s="81">
        <f>SUM(Table1[[#This Row],[Technical Knowledge]:[Repeat job nahin aana]])/6</f>
        <v>0</v>
      </c>
      <c r="L1498" s="79" t="str">
        <f>IFERROR(AVERAGEIFS(Table1[Final Score],Table1[Month],Table1[[#This Row],[Month]],Table1[Year],Table1[[#This Row],[Year]],Table1[Mechanic Name],Table1[[#This Row],[Mechanic Name]]),"")</f>
        <v/>
      </c>
    </row>
    <row r="1499" spans="3:12" hidden="1" x14ac:dyDescent="0.35">
      <c r="C1499" s="80"/>
      <c r="K1499" s="81">
        <f>SUM(Table1[[#This Row],[Technical Knowledge]:[Repeat job nahin aana]])/6</f>
        <v>0</v>
      </c>
      <c r="L1499" s="79" t="str">
        <f>IFERROR(AVERAGEIFS(Table1[Final Score],Table1[Month],Table1[[#This Row],[Month]],Table1[Year],Table1[[#This Row],[Year]],Table1[Mechanic Name],Table1[[#This Row],[Mechanic Name]]),"")</f>
        <v/>
      </c>
    </row>
    <row r="1500" spans="3:12" hidden="1" x14ac:dyDescent="0.35">
      <c r="C1500" s="80"/>
      <c r="K1500" s="81">
        <f>SUM(Table1[[#This Row],[Technical Knowledge]:[Repeat job nahin aana]])/6</f>
        <v>0</v>
      </c>
      <c r="L1500" s="79" t="str">
        <f>IFERROR(AVERAGEIFS(Table1[Final Score],Table1[Month],Table1[[#This Row],[Month]],Table1[Year],Table1[[#This Row],[Year]],Table1[Mechanic Name],Table1[[#This Row],[Mechanic Name]]),"")</f>
        <v/>
      </c>
    </row>
    <row r="1501" spans="3:12" hidden="1" x14ac:dyDescent="0.35">
      <c r="C1501" s="80"/>
      <c r="K1501" s="81">
        <f>SUM(Table1[[#This Row],[Technical Knowledge]:[Repeat job nahin aana]])/6</f>
        <v>0</v>
      </c>
      <c r="L1501" s="79" t="str">
        <f>IFERROR(AVERAGEIFS(Table1[Final Score],Table1[Month],Table1[[#This Row],[Month]],Table1[Year],Table1[[#This Row],[Year]],Table1[Mechanic Name],Table1[[#This Row],[Mechanic Name]]),"")</f>
        <v/>
      </c>
    </row>
    <row r="1502" spans="3:12" hidden="1" x14ac:dyDescent="0.35">
      <c r="C1502" s="80"/>
      <c r="K1502" s="81">
        <f>SUM(Table1[[#This Row],[Technical Knowledge]:[Repeat job nahin aana]])/6</f>
        <v>0</v>
      </c>
      <c r="L1502" s="79" t="str">
        <f>IFERROR(AVERAGEIFS(Table1[Final Score],Table1[Month],Table1[[#This Row],[Month]],Table1[Year],Table1[[#This Row],[Year]],Table1[Mechanic Name],Table1[[#This Row],[Mechanic Name]]),"")</f>
        <v/>
      </c>
    </row>
    <row r="1503" spans="3:12" hidden="1" x14ac:dyDescent="0.35">
      <c r="C1503" s="80"/>
      <c r="K1503" s="81">
        <f>SUM(Table1[[#This Row],[Technical Knowledge]:[Repeat job nahin aana]])/6</f>
        <v>0</v>
      </c>
      <c r="L1503" s="79" t="str">
        <f>IFERROR(AVERAGEIFS(Table1[Final Score],Table1[Month],Table1[[#This Row],[Month]],Table1[Year],Table1[[#This Row],[Year]],Table1[Mechanic Name],Table1[[#This Row],[Mechanic Name]]),"")</f>
        <v/>
      </c>
    </row>
    <row r="1504" spans="3:12" hidden="1" x14ac:dyDescent="0.35">
      <c r="C1504" s="80"/>
      <c r="K1504" s="81">
        <f>SUM(Table1[[#This Row],[Technical Knowledge]:[Repeat job nahin aana]])/6</f>
        <v>0</v>
      </c>
      <c r="L1504" s="79" t="str">
        <f>IFERROR(AVERAGEIFS(Table1[Final Score],Table1[Month],Table1[[#This Row],[Month]],Table1[Year],Table1[[#This Row],[Year]],Table1[Mechanic Name],Table1[[#This Row],[Mechanic Name]]),"")</f>
        <v/>
      </c>
    </row>
    <row r="1505" spans="3:12" hidden="1" x14ac:dyDescent="0.35">
      <c r="C1505" s="80"/>
      <c r="K1505" s="81">
        <f>SUM(Table1[[#This Row],[Technical Knowledge]:[Repeat job nahin aana]])/6</f>
        <v>0</v>
      </c>
      <c r="L1505" s="79" t="str">
        <f>IFERROR(AVERAGEIFS(Table1[Final Score],Table1[Month],Table1[[#This Row],[Month]],Table1[Year],Table1[[#This Row],[Year]],Table1[Mechanic Name],Table1[[#This Row],[Mechanic Name]]),"")</f>
        <v/>
      </c>
    </row>
    <row r="1506" spans="3:12" hidden="1" x14ac:dyDescent="0.35">
      <c r="C1506" s="80"/>
      <c r="K1506" s="81">
        <f>SUM(Table1[[#This Row],[Technical Knowledge]:[Repeat job nahin aana]])/6</f>
        <v>0</v>
      </c>
      <c r="L1506" s="79" t="str">
        <f>IFERROR(AVERAGEIFS(Table1[Final Score],Table1[Month],Table1[[#This Row],[Month]],Table1[Year],Table1[[#This Row],[Year]],Table1[Mechanic Name],Table1[[#This Row],[Mechanic Name]]),"")</f>
        <v/>
      </c>
    </row>
    <row r="1507" spans="3:12" hidden="1" x14ac:dyDescent="0.35">
      <c r="C1507" s="80"/>
      <c r="K1507" s="81">
        <f>SUM(Table1[[#This Row],[Technical Knowledge]:[Repeat job nahin aana]])/6</f>
        <v>0</v>
      </c>
      <c r="L1507" s="79" t="str">
        <f>IFERROR(AVERAGEIFS(Table1[Final Score],Table1[Month],Table1[[#This Row],[Month]],Table1[Year],Table1[[#This Row],[Year]],Table1[Mechanic Name],Table1[[#This Row],[Mechanic Name]]),"")</f>
        <v/>
      </c>
    </row>
    <row r="1508" spans="3:12" hidden="1" x14ac:dyDescent="0.35">
      <c r="C1508" s="80"/>
      <c r="K1508" s="81">
        <f>SUM(Table1[[#This Row],[Technical Knowledge]:[Repeat job nahin aana]])/6</f>
        <v>0</v>
      </c>
      <c r="L1508" s="79" t="str">
        <f>IFERROR(AVERAGEIFS(Table1[Final Score],Table1[Month],Table1[[#This Row],[Month]],Table1[Year],Table1[[#This Row],[Year]],Table1[Mechanic Name],Table1[[#This Row],[Mechanic Name]]),"")</f>
        <v/>
      </c>
    </row>
    <row r="1509" spans="3:12" hidden="1" x14ac:dyDescent="0.35">
      <c r="C1509" s="80"/>
      <c r="K1509" s="81">
        <f>SUM(Table1[[#This Row],[Technical Knowledge]:[Repeat job nahin aana]])/6</f>
        <v>0</v>
      </c>
      <c r="L1509" s="79" t="str">
        <f>IFERROR(AVERAGEIFS(Table1[Final Score],Table1[Month],Table1[[#This Row],[Month]],Table1[Year],Table1[[#This Row],[Year]],Table1[Mechanic Name],Table1[[#This Row],[Mechanic Name]]),"")</f>
        <v/>
      </c>
    </row>
    <row r="1510" spans="3:12" hidden="1" x14ac:dyDescent="0.35">
      <c r="C1510" s="80"/>
      <c r="K1510" s="81">
        <f>SUM(Table1[[#This Row],[Technical Knowledge]:[Repeat job nahin aana]])/6</f>
        <v>0</v>
      </c>
      <c r="L1510" s="79" t="str">
        <f>IFERROR(AVERAGEIFS(Table1[Final Score],Table1[Month],Table1[[#This Row],[Month]],Table1[Year],Table1[[#This Row],[Year]],Table1[Mechanic Name],Table1[[#This Row],[Mechanic Name]]),"")</f>
        <v/>
      </c>
    </row>
    <row r="1511" spans="3:12" hidden="1" x14ac:dyDescent="0.35">
      <c r="C1511" s="80"/>
      <c r="K1511" s="81">
        <f>SUM(Table1[[#This Row],[Technical Knowledge]:[Repeat job nahin aana]])/6</f>
        <v>0</v>
      </c>
      <c r="L1511" s="79" t="str">
        <f>IFERROR(AVERAGEIFS(Table1[Final Score],Table1[Month],Table1[[#This Row],[Month]],Table1[Year],Table1[[#This Row],[Year]],Table1[Mechanic Name],Table1[[#This Row],[Mechanic Name]]),"")</f>
        <v/>
      </c>
    </row>
    <row r="1512" spans="3:12" hidden="1" x14ac:dyDescent="0.35">
      <c r="C1512" s="80"/>
      <c r="K1512" s="81">
        <f>SUM(Table1[[#This Row],[Technical Knowledge]:[Repeat job nahin aana]])/6</f>
        <v>0</v>
      </c>
      <c r="L1512" s="79" t="str">
        <f>IFERROR(AVERAGEIFS(Table1[Final Score],Table1[Month],Table1[[#This Row],[Month]],Table1[Year],Table1[[#This Row],[Year]],Table1[Mechanic Name],Table1[[#This Row],[Mechanic Name]]),"")</f>
        <v/>
      </c>
    </row>
    <row r="1513" spans="3:12" hidden="1" x14ac:dyDescent="0.35">
      <c r="C1513" s="80"/>
      <c r="K1513" s="81">
        <f>SUM(Table1[[#This Row],[Technical Knowledge]:[Repeat job nahin aana]])/6</f>
        <v>0</v>
      </c>
      <c r="L1513" s="79" t="str">
        <f>IFERROR(AVERAGEIFS(Table1[Final Score],Table1[Month],Table1[[#This Row],[Month]],Table1[Year],Table1[[#This Row],[Year]],Table1[Mechanic Name],Table1[[#This Row],[Mechanic Name]]),"")</f>
        <v/>
      </c>
    </row>
    <row r="1514" spans="3:12" hidden="1" x14ac:dyDescent="0.35">
      <c r="C1514" s="80"/>
      <c r="K1514" s="81">
        <f>SUM(Table1[[#This Row],[Technical Knowledge]:[Repeat job nahin aana]])/6</f>
        <v>0</v>
      </c>
      <c r="L1514" s="79" t="str">
        <f>IFERROR(AVERAGEIFS(Table1[Final Score],Table1[Month],Table1[[#This Row],[Month]],Table1[Year],Table1[[#This Row],[Year]],Table1[Mechanic Name],Table1[[#This Row],[Mechanic Name]]),"")</f>
        <v/>
      </c>
    </row>
    <row r="1515" spans="3:12" hidden="1" x14ac:dyDescent="0.35">
      <c r="C1515" s="80"/>
      <c r="K1515" s="81">
        <f>SUM(Table1[[#This Row],[Technical Knowledge]:[Repeat job nahin aana]])/6</f>
        <v>0</v>
      </c>
      <c r="L1515" s="79" t="str">
        <f>IFERROR(AVERAGEIFS(Table1[Final Score],Table1[Month],Table1[[#This Row],[Month]],Table1[Year],Table1[[#This Row],[Year]],Table1[Mechanic Name],Table1[[#This Row],[Mechanic Name]]),"")</f>
        <v/>
      </c>
    </row>
    <row r="1516" spans="3:12" hidden="1" x14ac:dyDescent="0.35">
      <c r="C1516" s="80"/>
      <c r="K1516" s="81">
        <f>SUM(Table1[[#This Row],[Technical Knowledge]:[Repeat job nahin aana]])/6</f>
        <v>0</v>
      </c>
      <c r="L1516" s="79" t="str">
        <f>IFERROR(AVERAGEIFS(Table1[Final Score],Table1[Month],Table1[[#This Row],[Month]],Table1[Year],Table1[[#This Row],[Year]],Table1[Mechanic Name],Table1[[#This Row],[Mechanic Name]]),"")</f>
        <v/>
      </c>
    </row>
    <row r="1517" spans="3:12" hidden="1" x14ac:dyDescent="0.35">
      <c r="C1517" s="80"/>
      <c r="K1517" s="81">
        <f>SUM(Table1[[#This Row],[Technical Knowledge]:[Repeat job nahin aana]])/6</f>
        <v>0</v>
      </c>
      <c r="L1517" s="79" t="str">
        <f>IFERROR(AVERAGEIFS(Table1[Final Score],Table1[Month],Table1[[#This Row],[Month]],Table1[Year],Table1[[#This Row],[Year]],Table1[Mechanic Name],Table1[[#This Row],[Mechanic Name]]),"")</f>
        <v/>
      </c>
    </row>
    <row r="1518" spans="3:12" hidden="1" x14ac:dyDescent="0.35">
      <c r="C1518" s="80"/>
      <c r="K1518" s="81">
        <f>SUM(Table1[[#This Row],[Technical Knowledge]:[Repeat job nahin aana]])/6</f>
        <v>0</v>
      </c>
      <c r="L1518" s="79" t="str">
        <f>IFERROR(AVERAGEIFS(Table1[Final Score],Table1[Month],Table1[[#This Row],[Month]],Table1[Year],Table1[[#This Row],[Year]],Table1[Mechanic Name],Table1[[#This Row],[Mechanic Name]]),"")</f>
        <v/>
      </c>
    </row>
    <row r="1519" spans="3:12" hidden="1" x14ac:dyDescent="0.35">
      <c r="C1519" s="80"/>
      <c r="K1519" s="81">
        <f>SUM(Table1[[#This Row],[Technical Knowledge]:[Repeat job nahin aana]])/6</f>
        <v>0</v>
      </c>
      <c r="L1519" s="79" t="str">
        <f>IFERROR(AVERAGEIFS(Table1[Final Score],Table1[Month],Table1[[#This Row],[Month]],Table1[Year],Table1[[#This Row],[Year]],Table1[Mechanic Name],Table1[[#This Row],[Mechanic Name]]),"")</f>
        <v/>
      </c>
    </row>
    <row r="1520" spans="3:12" hidden="1" x14ac:dyDescent="0.35">
      <c r="C1520" s="80"/>
      <c r="K1520" s="81">
        <f>SUM(Table1[[#This Row],[Technical Knowledge]:[Repeat job nahin aana]])/6</f>
        <v>0</v>
      </c>
      <c r="L1520" s="79" t="str">
        <f>IFERROR(AVERAGEIFS(Table1[Final Score],Table1[Month],Table1[[#This Row],[Month]],Table1[Year],Table1[[#This Row],[Year]],Table1[Mechanic Name],Table1[[#This Row],[Mechanic Name]]),"")</f>
        <v/>
      </c>
    </row>
    <row r="1521" spans="3:12" hidden="1" x14ac:dyDescent="0.35">
      <c r="C1521" s="80"/>
      <c r="K1521" s="81">
        <f>SUM(Table1[[#This Row],[Technical Knowledge]:[Repeat job nahin aana]])/6</f>
        <v>0</v>
      </c>
      <c r="L1521" s="79" t="str">
        <f>IFERROR(AVERAGEIFS(Table1[Final Score],Table1[Month],Table1[[#This Row],[Month]],Table1[Year],Table1[[#This Row],[Year]],Table1[Mechanic Name],Table1[[#This Row],[Mechanic Name]]),"")</f>
        <v/>
      </c>
    </row>
    <row r="1522" spans="3:12" hidden="1" x14ac:dyDescent="0.35">
      <c r="C1522" s="80"/>
      <c r="K1522" s="81">
        <f>SUM(Table1[[#This Row],[Technical Knowledge]:[Repeat job nahin aana]])/6</f>
        <v>0</v>
      </c>
      <c r="L1522" s="79" t="str">
        <f>IFERROR(AVERAGEIFS(Table1[Final Score],Table1[Month],Table1[[#This Row],[Month]],Table1[Year],Table1[[#This Row],[Year]],Table1[Mechanic Name],Table1[[#This Row],[Mechanic Name]]),"")</f>
        <v/>
      </c>
    </row>
    <row r="1523" spans="3:12" hidden="1" x14ac:dyDescent="0.35">
      <c r="C1523" s="80"/>
      <c r="K1523" s="81">
        <f>SUM(Table1[[#This Row],[Technical Knowledge]:[Repeat job nahin aana]])/6</f>
        <v>0</v>
      </c>
      <c r="L1523" s="79" t="str">
        <f>IFERROR(AVERAGEIFS(Table1[Final Score],Table1[Month],Table1[[#This Row],[Month]],Table1[Year],Table1[[#This Row],[Year]],Table1[Mechanic Name],Table1[[#This Row],[Mechanic Name]]),"")</f>
        <v/>
      </c>
    </row>
    <row r="1524" spans="3:12" hidden="1" x14ac:dyDescent="0.35">
      <c r="C1524" s="80"/>
      <c r="K1524" s="81">
        <f>SUM(Table1[[#This Row],[Technical Knowledge]:[Repeat job nahin aana]])/6</f>
        <v>0</v>
      </c>
      <c r="L1524" s="79" t="str">
        <f>IFERROR(AVERAGEIFS(Table1[Final Score],Table1[Month],Table1[[#This Row],[Month]],Table1[Year],Table1[[#This Row],[Year]],Table1[Mechanic Name],Table1[[#This Row],[Mechanic Name]]),"")</f>
        <v/>
      </c>
    </row>
    <row r="1525" spans="3:12" hidden="1" x14ac:dyDescent="0.35">
      <c r="C1525" s="80"/>
      <c r="K1525" s="81">
        <f>SUM(Table1[[#This Row],[Technical Knowledge]:[Repeat job nahin aana]])/6</f>
        <v>0</v>
      </c>
      <c r="L1525" s="79" t="str">
        <f>IFERROR(AVERAGEIFS(Table1[Final Score],Table1[Month],Table1[[#This Row],[Month]],Table1[Year],Table1[[#This Row],[Year]],Table1[Mechanic Name],Table1[[#This Row],[Mechanic Name]]),"")</f>
        <v/>
      </c>
    </row>
    <row r="1526" spans="3:12" hidden="1" x14ac:dyDescent="0.35">
      <c r="C1526" s="80"/>
      <c r="K1526" s="81">
        <f>SUM(Table1[[#This Row],[Technical Knowledge]:[Repeat job nahin aana]])/6</f>
        <v>0</v>
      </c>
      <c r="L1526" s="79" t="str">
        <f>IFERROR(AVERAGEIFS(Table1[Final Score],Table1[Month],Table1[[#This Row],[Month]],Table1[Year],Table1[[#This Row],[Year]],Table1[Mechanic Name],Table1[[#This Row],[Mechanic Name]]),"")</f>
        <v/>
      </c>
    </row>
    <row r="1527" spans="3:12" hidden="1" x14ac:dyDescent="0.35">
      <c r="C1527" s="80"/>
      <c r="K1527" s="81">
        <f>SUM(Table1[[#This Row],[Technical Knowledge]:[Repeat job nahin aana]])/6</f>
        <v>0</v>
      </c>
      <c r="L1527" s="79" t="str">
        <f>IFERROR(AVERAGEIFS(Table1[Final Score],Table1[Month],Table1[[#This Row],[Month]],Table1[Year],Table1[[#This Row],[Year]],Table1[Mechanic Name],Table1[[#This Row],[Mechanic Name]]),"")</f>
        <v/>
      </c>
    </row>
    <row r="1528" spans="3:12" hidden="1" x14ac:dyDescent="0.35">
      <c r="C1528" s="80"/>
      <c r="K1528" s="81">
        <f>SUM(Table1[[#This Row],[Technical Knowledge]:[Repeat job nahin aana]])/6</f>
        <v>0</v>
      </c>
      <c r="L1528" s="79" t="str">
        <f>IFERROR(AVERAGEIFS(Table1[Final Score],Table1[Month],Table1[[#This Row],[Month]],Table1[Year],Table1[[#This Row],[Year]],Table1[Mechanic Name],Table1[[#This Row],[Mechanic Name]]),"")</f>
        <v/>
      </c>
    </row>
    <row r="1529" spans="3:12" hidden="1" x14ac:dyDescent="0.35">
      <c r="C1529" s="80"/>
      <c r="K1529" s="81">
        <f>SUM(Table1[[#This Row],[Technical Knowledge]:[Repeat job nahin aana]])/6</f>
        <v>0</v>
      </c>
      <c r="L1529" s="79" t="str">
        <f>IFERROR(AVERAGEIFS(Table1[Final Score],Table1[Month],Table1[[#This Row],[Month]],Table1[Year],Table1[[#This Row],[Year]],Table1[Mechanic Name],Table1[[#This Row],[Mechanic Name]]),"")</f>
        <v/>
      </c>
    </row>
    <row r="1530" spans="3:12" hidden="1" x14ac:dyDescent="0.35">
      <c r="C1530" s="80"/>
      <c r="K1530" s="81">
        <f>SUM(Table1[[#This Row],[Technical Knowledge]:[Repeat job nahin aana]])/6</f>
        <v>0</v>
      </c>
      <c r="L1530" s="79" t="str">
        <f>IFERROR(AVERAGEIFS(Table1[Final Score],Table1[Month],Table1[[#This Row],[Month]],Table1[Year],Table1[[#This Row],[Year]],Table1[Mechanic Name],Table1[[#This Row],[Mechanic Name]]),"")</f>
        <v/>
      </c>
    </row>
    <row r="1531" spans="3:12" hidden="1" x14ac:dyDescent="0.35">
      <c r="C1531" s="80"/>
      <c r="K1531" s="81">
        <f>SUM(Table1[[#This Row],[Technical Knowledge]:[Repeat job nahin aana]])/6</f>
        <v>0</v>
      </c>
      <c r="L1531" s="79" t="str">
        <f>IFERROR(AVERAGEIFS(Table1[Final Score],Table1[Month],Table1[[#This Row],[Month]],Table1[Year],Table1[[#This Row],[Year]],Table1[Mechanic Name],Table1[[#This Row],[Mechanic Name]]),"")</f>
        <v/>
      </c>
    </row>
    <row r="1532" spans="3:12" hidden="1" x14ac:dyDescent="0.35">
      <c r="C1532" s="80"/>
      <c r="K1532" s="81">
        <f>SUM(Table1[[#This Row],[Technical Knowledge]:[Repeat job nahin aana]])/6</f>
        <v>0</v>
      </c>
      <c r="L1532" s="79" t="str">
        <f>IFERROR(AVERAGEIFS(Table1[Final Score],Table1[Month],Table1[[#This Row],[Month]],Table1[Year],Table1[[#This Row],[Year]],Table1[Mechanic Name],Table1[[#This Row],[Mechanic Name]]),"")</f>
        <v/>
      </c>
    </row>
    <row r="1533" spans="3:12" hidden="1" x14ac:dyDescent="0.35">
      <c r="C1533" s="80"/>
      <c r="K1533" s="81">
        <f>SUM(Table1[[#This Row],[Technical Knowledge]:[Repeat job nahin aana]])/6</f>
        <v>0</v>
      </c>
      <c r="L1533" s="79" t="str">
        <f>IFERROR(AVERAGEIFS(Table1[Final Score],Table1[Month],Table1[[#This Row],[Month]],Table1[Year],Table1[[#This Row],[Year]],Table1[Mechanic Name],Table1[[#This Row],[Mechanic Name]]),"")</f>
        <v/>
      </c>
    </row>
    <row r="1534" spans="3:12" hidden="1" x14ac:dyDescent="0.35">
      <c r="C1534" s="80"/>
      <c r="K1534" s="81">
        <f>SUM(Table1[[#This Row],[Technical Knowledge]:[Repeat job nahin aana]])/6</f>
        <v>0</v>
      </c>
      <c r="L1534" s="79" t="str">
        <f>IFERROR(AVERAGEIFS(Table1[Final Score],Table1[Month],Table1[[#This Row],[Month]],Table1[Year],Table1[[#This Row],[Year]],Table1[Mechanic Name],Table1[[#This Row],[Mechanic Name]]),"")</f>
        <v/>
      </c>
    </row>
    <row r="1535" spans="3:12" hidden="1" x14ac:dyDescent="0.35">
      <c r="C1535" s="80"/>
      <c r="K1535" s="81">
        <f>SUM(Table1[[#This Row],[Technical Knowledge]:[Repeat job nahin aana]])/6</f>
        <v>0</v>
      </c>
      <c r="L1535" s="79" t="str">
        <f>IFERROR(AVERAGEIFS(Table1[Final Score],Table1[Month],Table1[[#This Row],[Month]],Table1[Year],Table1[[#This Row],[Year]],Table1[Mechanic Name],Table1[[#This Row],[Mechanic Name]]),"")</f>
        <v/>
      </c>
    </row>
    <row r="1536" spans="3:12" hidden="1" x14ac:dyDescent="0.35">
      <c r="C1536" s="80"/>
      <c r="K1536" s="81">
        <f>SUM(Table1[[#This Row],[Technical Knowledge]:[Repeat job nahin aana]])/6</f>
        <v>0</v>
      </c>
      <c r="L1536" s="79" t="str">
        <f>IFERROR(AVERAGEIFS(Table1[Final Score],Table1[Month],Table1[[#This Row],[Month]],Table1[Year],Table1[[#This Row],[Year]],Table1[Mechanic Name],Table1[[#This Row],[Mechanic Name]]),"")</f>
        <v/>
      </c>
    </row>
    <row r="1537" spans="3:12" hidden="1" x14ac:dyDescent="0.35">
      <c r="C1537" s="80"/>
      <c r="K1537" s="81">
        <f>SUM(Table1[[#This Row],[Technical Knowledge]:[Repeat job nahin aana]])/6</f>
        <v>0</v>
      </c>
      <c r="L1537" s="79" t="str">
        <f>IFERROR(AVERAGEIFS(Table1[Final Score],Table1[Month],Table1[[#This Row],[Month]],Table1[Year],Table1[[#This Row],[Year]],Table1[Mechanic Name],Table1[[#This Row],[Mechanic Name]]),"")</f>
        <v/>
      </c>
    </row>
    <row r="1538" spans="3:12" hidden="1" x14ac:dyDescent="0.35">
      <c r="C1538" s="80"/>
      <c r="K1538" s="81">
        <f>SUM(Table1[[#This Row],[Technical Knowledge]:[Repeat job nahin aana]])/6</f>
        <v>0</v>
      </c>
      <c r="L1538" s="79" t="str">
        <f>IFERROR(AVERAGEIFS(Table1[Final Score],Table1[Month],Table1[[#This Row],[Month]],Table1[Year],Table1[[#This Row],[Year]],Table1[Mechanic Name],Table1[[#This Row],[Mechanic Name]]),"")</f>
        <v/>
      </c>
    </row>
    <row r="1539" spans="3:12" hidden="1" x14ac:dyDescent="0.35">
      <c r="C1539" s="80"/>
      <c r="K1539" s="81">
        <f>SUM(Table1[[#This Row],[Technical Knowledge]:[Repeat job nahin aana]])/6</f>
        <v>0</v>
      </c>
      <c r="L1539" s="79" t="str">
        <f>IFERROR(AVERAGEIFS(Table1[Final Score],Table1[Month],Table1[[#This Row],[Month]],Table1[Year],Table1[[#This Row],[Year]],Table1[Mechanic Name],Table1[[#This Row],[Mechanic Name]]),"")</f>
        <v/>
      </c>
    </row>
    <row r="1540" spans="3:12" hidden="1" x14ac:dyDescent="0.35">
      <c r="C1540" s="80"/>
      <c r="K1540" s="81">
        <f>SUM(Table1[[#This Row],[Technical Knowledge]:[Repeat job nahin aana]])/6</f>
        <v>0</v>
      </c>
      <c r="L1540" s="79" t="str">
        <f>IFERROR(AVERAGEIFS(Table1[Final Score],Table1[Month],Table1[[#This Row],[Month]],Table1[Year],Table1[[#This Row],[Year]],Table1[Mechanic Name],Table1[[#This Row],[Mechanic Name]]),"")</f>
        <v/>
      </c>
    </row>
    <row r="1541" spans="3:12" hidden="1" x14ac:dyDescent="0.35">
      <c r="C1541" s="80"/>
      <c r="K1541" s="81">
        <f>SUM(Table1[[#This Row],[Technical Knowledge]:[Repeat job nahin aana]])/6</f>
        <v>0</v>
      </c>
      <c r="L1541" s="79" t="str">
        <f>IFERROR(AVERAGEIFS(Table1[Final Score],Table1[Month],Table1[[#This Row],[Month]],Table1[Year],Table1[[#This Row],[Year]],Table1[Mechanic Name],Table1[[#This Row],[Mechanic Name]]),"")</f>
        <v/>
      </c>
    </row>
    <row r="1542" spans="3:12" hidden="1" x14ac:dyDescent="0.35">
      <c r="C1542" s="80"/>
      <c r="K1542" s="81">
        <f>SUM(Table1[[#This Row],[Technical Knowledge]:[Repeat job nahin aana]])/6</f>
        <v>0</v>
      </c>
      <c r="L1542" s="79" t="str">
        <f>IFERROR(AVERAGEIFS(Table1[Final Score],Table1[Month],Table1[[#This Row],[Month]],Table1[Year],Table1[[#This Row],[Year]],Table1[Mechanic Name],Table1[[#This Row],[Mechanic Name]]),"")</f>
        <v/>
      </c>
    </row>
    <row r="1543" spans="3:12" hidden="1" x14ac:dyDescent="0.35">
      <c r="C1543" s="80"/>
      <c r="K1543" s="81">
        <f>SUM(Table1[[#This Row],[Technical Knowledge]:[Repeat job nahin aana]])/6</f>
        <v>0</v>
      </c>
      <c r="L1543" s="79" t="str">
        <f>IFERROR(AVERAGEIFS(Table1[Final Score],Table1[Month],Table1[[#This Row],[Month]],Table1[Year],Table1[[#This Row],[Year]],Table1[Mechanic Name],Table1[[#This Row],[Mechanic Name]]),"")</f>
        <v/>
      </c>
    </row>
    <row r="1544" spans="3:12" hidden="1" x14ac:dyDescent="0.35">
      <c r="C1544" s="80"/>
      <c r="K1544" s="81">
        <f>SUM(Table1[[#This Row],[Technical Knowledge]:[Repeat job nahin aana]])/6</f>
        <v>0</v>
      </c>
      <c r="L1544" s="79" t="str">
        <f>IFERROR(AVERAGEIFS(Table1[Final Score],Table1[Month],Table1[[#This Row],[Month]],Table1[Year],Table1[[#This Row],[Year]],Table1[Mechanic Name],Table1[[#This Row],[Mechanic Name]]),"")</f>
        <v/>
      </c>
    </row>
    <row r="1545" spans="3:12" hidden="1" x14ac:dyDescent="0.35">
      <c r="C1545" s="80"/>
      <c r="K1545" s="81">
        <f>SUM(Table1[[#This Row],[Technical Knowledge]:[Repeat job nahin aana]])/6</f>
        <v>0</v>
      </c>
      <c r="L1545" s="79" t="str">
        <f>IFERROR(AVERAGEIFS(Table1[Final Score],Table1[Month],Table1[[#This Row],[Month]],Table1[Year],Table1[[#This Row],[Year]],Table1[Mechanic Name],Table1[[#This Row],[Mechanic Name]]),"")</f>
        <v/>
      </c>
    </row>
    <row r="1546" spans="3:12" hidden="1" x14ac:dyDescent="0.35">
      <c r="C1546" s="80"/>
      <c r="K1546" s="81">
        <f>SUM(Table1[[#This Row],[Technical Knowledge]:[Repeat job nahin aana]])/6</f>
        <v>0</v>
      </c>
      <c r="L1546" s="79" t="str">
        <f>IFERROR(AVERAGEIFS(Table1[Final Score],Table1[Month],Table1[[#This Row],[Month]],Table1[Year],Table1[[#This Row],[Year]],Table1[Mechanic Name],Table1[[#This Row],[Mechanic Name]]),"")</f>
        <v/>
      </c>
    </row>
    <row r="1547" spans="3:12" hidden="1" x14ac:dyDescent="0.35">
      <c r="C1547" s="80"/>
      <c r="K1547" s="81">
        <f>SUM(Table1[[#This Row],[Technical Knowledge]:[Repeat job nahin aana]])/6</f>
        <v>0</v>
      </c>
      <c r="L1547" s="79" t="str">
        <f>IFERROR(AVERAGEIFS(Table1[Final Score],Table1[Month],Table1[[#This Row],[Month]],Table1[Year],Table1[[#This Row],[Year]],Table1[Mechanic Name],Table1[[#This Row],[Mechanic Name]]),"")</f>
        <v/>
      </c>
    </row>
    <row r="1548" spans="3:12" hidden="1" x14ac:dyDescent="0.35">
      <c r="C1548" s="80"/>
      <c r="K1548" s="81">
        <f>SUM(Table1[[#This Row],[Technical Knowledge]:[Repeat job nahin aana]])/6</f>
        <v>0</v>
      </c>
      <c r="L1548" s="79" t="str">
        <f>IFERROR(AVERAGEIFS(Table1[Final Score],Table1[Month],Table1[[#This Row],[Month]],Table1[Year],Table1[[#This Row],[Year]],Table1[Mechanic Name],Table1[[#This Row],[Mechanic Name]]),"")</f>
        <v/>
      </c>
    </row>
    <row r="1549" spans="3:12" hidden="1" x14ac:dyDescent="0.35">
      <c r="C1549" s="80"/>
      <c r="K1549" s="81">
        <f>SUM(Table1[[#This Row],[Technical Knowledge]:[Repeat job nahin aana]])/6</f>
        <v>0</v>
      </c>
      <c r="L1549" s="79" t="str">
        <f>IFERROR(AVERAGEIFS(Table1[Final Score],Table1[Month],Table1[[#This Row],[Month]],Table1[Year],Table1[[#This Row],[Year]],Table1[Mechanic Name],Table1[[#This Row],[Mechanic Name]]),"")</f>
        <v/>
      </c>
    </row>
    <row r="1550" spans="3:12" hidden="1" x14ac:dyDescent="0.35">
      <c r="C1550" s="80"/>
      <c r="K1550" s="81">
        <f>SUM(Table1[[#This Row],[Technical Knowledge]:[Repeat job nahin aana]])/6</f>
        <v>0</v>
      </c>
      <c r="L1550" s="79" t="str">
        <f>IFERROR(AVERAGEIFS(Table1[Final Score],Table1[Month],Table1[[#This Row],[Month]],Table1[Year],Table1[[#This Row],[Year]],Table1[Mechanic Name],Table1[[#This Row],[Mechanic Name]]),"")</f>
        <v/>
      </c>
    </row>
    <row r="1551" spans="3:12" hidden="1" x14ac:dyDescent="0.35">
      <c r="C1551" s="80"/>
      <c r="K1551" s="81">
        <f>SUM(Table1[[#This Row],[Technical Knowledge]:[Repeat job nahin aana]])/6</f>
        <v>0</v>
      </c>
      <c r="L1551" s="79" t="str">
        <f>IFERROR(AVERAGEIFS(Table1[Final Score],Table1[Month],Table1[[#This Row],[Month]],Table1[Year],Table1[[#This Row],[Year]],Table1[Mechanic Name],Table1[[#This Row],[Mechanic Name]]),"")</f>
        <v/>
      </c>
    </row>
    <row r="1552" spans="3:12" hidden="1" x14ac:dyDescent="0.35">
      <c r="C1552" s="80"/>
      <c r="K1552" s="81">
        <f>SUM(Table1[[#This Row],[Technical Knowledge]:[Repeat job nahin aana]])/6</f>
        <v>0</v>
      </c>
      <c r="L1552" s="79" t="str">
        <f>IFERROR(AVERAGEIFS(Table1[Final Score],Table1[Month],Table1[[#This Row],[Month]],Table1[Year],Table1[[#This Row],[Year]],Table1[Mechanic Name],Table1[[#This Row],[Mechanic Name]]),"")</f>
        <v/>
      </c>
    </row>
    <row r="1553" spans="3:12" hidden="1" x14ac:dyDescent="0.35">
      <c r="C1553" s="80"/>
      <c r="K1553" s="81">
        <f>SUM(Table1[[#This Row],[Technical Knowledge]:[Repeat job nahin aana]])/6</f>
        <v>0</v>
      </c>
      <c r="L1553" s="79" t="str">
        <f>IFERROR(AVERAGEIFS(Table1[Final Score],Table1[Month],Table1[[#This Row],[Month]],Table1[Year],Table1[[#This Row],[Year]],Table1[Mechanic Name],Table1[[#This Row],[Mechanic Name]]),"")</f>
        <v/>
      </c>
    </row>
    <row r="1554" spans="3:12" hidden="1" x14ac:dyDescent="0.35">
      <c r="C1554" s="80"/>
      <c r="K1554" s="81">
        <f>SUM(Table1[[#This Row],[Technical Knowledge]:[Repeat job nahin aana]])/6</f>
        <v>0</v>
      </c>
      <c r="L1554" s="79" t="str">
        <f>IFERROR(AVERAGEIFS(Table1[Final Score],Table1[Month],Table1[[#This Row],[Month]],Table1[Year],Table1[[#This Row],[Year]],Table1[Mechanic Name],Table1[[#This Row],[Mechanic Name]]),"")</f>
        <v/>
      </c>
    </row>
    <row r="1555" spans="3:12" hidden="1" x14ac:dyDescent="0.35">
      <c r="C1555" s="80"/>
      <c r="K1555" s="81">
        <f>SUM(Table1[[#This Row],[Technical Knowledge]:[Repeat job nahin aana]])/6</f>
        <v>0</v>
      </c>
      <c r="L1555" s="79" t="str">
        <f>IFERROR(AVERAGEIFS(Table1[Final Score],Table1[Month],Table1[[#This Row],[Month]],Table1[Year],Table1[[#This Row],[Year]],Table1[Mechanic Name],Table1[[#This Row],[Mechanic Name]]),"")</f>
        <v/>
      </c>
    </row>
    <row r="1556" spans="3:12" hidden="1" x14ac:dyDescent="0.35">
      <c r="C1556" s="80"/>
      <c r="K1556" s="81">
        <f>SUM(Table1[[#This Row],[Technical Knowledge]:[Repeat job nahin aana]])/6</f>
        <v>0</v>
      </c>
      <c r="L1556" s="79" t="str">
        <f>IFERROR(AVERAGEIFS(Table1[Final Score],Table1[Month],Table1[[#This Row],[Month]],Table1[Year],Table1[[#This Row],[Year]],Table1[Mechanic Name],Table1[[#This Row],[Mechanic Name]]),"")</f>
        <v/>
      </c>
    </row>
    <row r="1557" spans="3:12" hidden="1" x14ac:dyDescent="0.35">
      <c r="C1557" s="80"/>
      <c r="K1557" s="81">
        <f>SUM(Table1[[#This Row],[Technical Knowledge]:[Repeat job nahin aana]])/6</f>
        <v>0</v>
      </c>
      <c r="L1557" s="79" t="str">
        <f>IFERROR(AVERAGEIFS(Table1[Final Score],Table1[Month],Table1[[#This Row],[Month]],Table1[Year],Table1[[#This Row],[Year]],Table1[Mechanic Name],Table1[[#This Row],[Mechanic Name]]),"")</f>
        <v/>
      </c>
    </row>
    <row r="1558" spans="3:12" hidden="1" x14ac:dyDescent="0.35">
      <c r="C1558" s="80"/>
      <c r="K1558" s="81">
        <f>SUM(Table1[[#This Row],[Technical Knowledge]:[Repeat job nahin aana]])/6</f>
        <v>0</v>
      </c>
      <c r="L1558" s="79" t="str">
        <f>IFERROR(AVERAGEIFS(Table1[Final Score],Table1[Month],Table1[[#This Row],[Month]],Table1[Year],Table1[[#This Row],[Year]],Table1[Mechanic Name],Table1[[#This Row],[Mechanic Name]]),"")</f>
        <v/>
      </c>
    </row>
    <row r="1559" spans="3:12" hidden="1" x14ac:dyDescent="0.35">
      <c r="C1559" s="80"/>
      <c r="K1559" s="81">
        <f>SUM(Table1[[#This Row],[Technical Knowledge]:[Repeat job nahin aana]])/6</f>
        <v>0</v>
      </c>
      <c r="L1559" s="79" t="str">
        <f>IFERROR(AVERAGEIFS(Table1[Final Score],Table1[Month],Table1[[#This Row],[Month]],Table1[Year],Table1[[#This Row],[Year]],Table1[Mechanic Name],Table1[[#This Row],[Mechanic Name]]),"")</f>
        <v/>
      </c>
    </row>
    <row r="1560" spans="3:12" hidden="1" x14ac:dyDescent="0.35">
      <c r="C1560" s="80"/>
      <c r="K1560" s="81">
        <f>SUM(Table1[[#This Row],[Technical Knowledge]:[Repeat job nahin aana]])/6</f>
        <v>0</v>
      </c>
      <c r="L1560" s="79" t="str">
        <f>IFERROR(AVERAGEIFS(Table1[Final Score],Table1[Month],Table1[[#This Row],[Month]],Table1[Year],Table1[[#This Row],[Year]],Table1[Mechanic Name],Table1[[#This Row],[Mechanic Name]]),"")</f>
        <v/>
      </c>
    </row>
    <row r="1561" spans="3:12" hidden="1" x14ac:dyDescent="0.35">
      <c r="C1561" s="80"/>
      <c r="K1561" s="81">
        <f>SUM(Table1[[#This Row],[Technical Knowledge]:[Repeat job nahin aana]])/6</f>
        <v>0</v>
      </c>
      <c r="L1561" s="79" t="str">
        <f>IFERROR(AVERAGEIFS(Table1[Final Score],Table1[Month],Table1[[#This Row],[Month]],Table1[Year],Table1[[#This Row],[Year]],Table1[Mechanic Name],Table1[[#This Row],[Mechanic Name]]),"")</f>
        <v/>
      </c>
    </row>
    <row r="1562" spans="3:12" hidden="1" x14ac:dyDescent="0.35">
      <c r="C1562" s="80"/>
      <c r="K1562" s="81">
        <f>SUM(Table1[[#This Row],[Technical Knowledge]:[Repeat job nahin aana]])/6</f>
        <v>0</v>
      </c>
      <c r="L1562" s="79" t="str">
        <f>IFERROR(AVERAGEIFS(Table1[Final Score],Table1[Month],Table1[[#This Row],[Month]],Table1[Year],Table1[[#This Row],[Year]],Table1[Mechanic Name],Table1[[#This Row],[Mechanic Name]]),"")</f>
        <v/>
      </c>
    </row>
    <row r="1563" spans="3:12" hidden="1" x14ac:dyDescent="0.35">
      <c r="C1563" s="80"/>
      <c r="K1563" s="81">
        <f>SUM(Table1[[#This Row],[Technical Knowledge]:[Repeat job nahin aana]])/6</f>
        <v>0</v>
      </c>
      <c r="L1563" s="79" t="str">
        <f>IFERROR(AVERAGEIFS(Table1[Final Score],Table1[Month],Table1[[#This Row],[Month]],Table1[Year],Table1[[#This Row],[Year]],Table1[Mechanic Name],Table1[[#This Row],[Mechanic Name]]),"")</f>
        <v/>
      </c>
    </row>
    <row r="1564" spans="3:12" hidden="1" x14ac:dyDescent="0.35">
      <c r="C1564" s="80"/>
      <c r="K1564" s="81">
        <f>SUM(Table1[[#This Row],[Technical Knowledge]:[Repeat job nahin aana]])/6</f>
        <v>0</v>
      </c>
      <c r="L1564" s="79" t="str">
        <f>IFERROR(AVERAGEIFS(Table1[Final Score],Table1[Month],Table1[[#This Row],[Month]],Table1[Year],Table1[[#This Row],[Year]],Table1[Mechanic Name],Table1[[#This Row],[Mechanic Name]]),"")</f>
        <v/>
      </c>
    </row>
    <row r="1565" spans="3:12" hidden="1" x14ac:dyDescent="0.35">
      <c r="C1565" s="80"/>
      <c r="K1565" s="81">
        <f>SUM(Table1[[#This Row],[Technical Knowledge]:[Repeat job nahin aana]])/6</f>
        <v>0</v>
      </c>
      <c r="L1565" s="79" t="str">
        <f>IFERROR(AVERAGEIFS(Table1[Final Score],Table1[Month],Table1[[#This Row],[Month]],Table1[Year],Table1[[#This Row],[Year]],Table1[Mechanic Name],Table1[[#This Row],[Mechanic Name]]),"")</f>
        <v/>
      </c>
    </row>
    <row r="1566" spans="3:12" hidden="1" x14ac:dyDescent="0.35">
      <c r="C1566" s="80"/>
      <c r="K1566" s="81">
        <f>SUM(Table1[[#This Row],[Technical Knowledge]:[Repeat job nahin aana]])/6</f>
        <v>0</v>
      </c>
      <c r="L1566" s="79" t="str">
        <f>IFERROR(AVERAGEIFS(Table1[Final Score],Table1[Month],Table1[[#This Row],[Month]],Table1[Year],Table1[[#This Row],[Year]],Table1[Mechanic Name],Table1[[#This Row],[Mechanic Name]]),"")</f>
        <v/>
      </c>
    </row>
    <row r="1567" spans="3:12" hidden="1" x14ac:dyDescent="0.35">
      <c r="C1567" s="80"/>
      <c r="K1567" s="81">
        <f>SUM(Table1[[#This Row],[Technical Knowledge]:[Repeat job nahin aana]])/6</f>
        <v>0</v>
      </c>
      <c r="L1567" s="79" t="str">
        <f>IFERROR(AVERAGEIFS(Table1[Final Score],Table1[Month],Table1[[#This Row],[Month]],Table1[Year],Table1[[#This Row],[Year]],Table1[Mechanic Name],Table1[[#This Row],[Mechanic Name]]),"")</f>
        <v/>
      </c>
    </row>
    <row r="1568" spans="3:12" hidden="1" x14ac:dyDescent="0.35">
      <c r="C1568" s="80"/>
      <c r="K1568" s="81">
        <f>SUM(Table1[[#This Row],[Technical Knowledge]:[Repeat job nahin aana]])/6</f>
        <v>0</v>
      </c>
      <c r="L1568" s="79" t="str">
        <f>IFERROR(AVERAGEIFS(Table1[Final Score],Table1[Month],Table1[[#This Row],[Month]],Table1[Year],Table1[[#This Row],[Year]],Table1[Mechanic Name],Table1[[#This Row],[Mechanic Name]]),"")</f>
        <v/>
      </c>
    </row>
    <row r="1569" spans="3:12" hidden="1" x14ac:dyDescent="0.35">
      <c r="C1569" s="80"/>
      <c r="K1569" s="81">
        <f>SUM(Table1[[#This Row],[Technical Knowledge]:[Repeat job nahin aana]])/6</f>
        <v>0</v>
      </c>
      <c r="L1569" s="79" t="str">
        <f>IFERROR(AVERAGEIFS(Table1[Final Score],Table1[Month],Table1[[#This Row],[Month]],Table1[Year],Table1[[#This Row],[Year]],Table1[Mechanic Name],Table1[[#This Row],[Mechanic Name]]),"")</f>
        <v/>
      </c>
    </row>
    <row r="1570" spans="3:12" hidden="1" x14ac:dyDescent="0.35">
      <c r="C1570" s="80"/>
      <c r="K1570" s="81">
        <f>SUM(Table1[[#This Row],[Technical Knowledge]:[Repeat job nahin aana]])/6</f>
        <v>0</v>
      </c>
      <c r="L1570" s="79" t="str">
        <f>IFERROR(AVERAGEIFS(Table1[Final Score],Table1[Month],Table1[[#This Row],[Month]],Table1[Year],Table1[[#This Row],[Year]],Table1[Mechanic Name],Table1[[#This Row],[Mechanic Name]]),"")</f>
        <v/>
      </c>
    </row>
    <row r="1571" spans="3:12" hidden="1" x14ac:dyDescent="0.35">
      <c r="C1571" s="80"/>
      <c r="K1571" s="81">
        <f>SUM(Table1[[#This Row],[Technical Knowledge]:[Repeat job nahin aana]])/6</f>
        <v>0</v>
      </c>
      <c r="L1571" s="79" t="str">
        <f>IFERROR(AVERAGEIFS(Table1[Final Score],Table1[Month],Table1[[#This Row],[Month]],Table1[Year],Table1[[#This Row],[Year]],Table1[Mechanic Name],Table1[[#This Row],[Mechanic Name]]),"")</f>
        <v/>
      </c>
    </row>
    <row r="1572" spans="3:12" hidden="1" x14ac:dyDescent="0.35">
      <c r="C1572" s="80"/>
      <c r="K1572" s="81">
        <f>SUM(Table1[[#This Row],[Technical Knowledge]:[Repeat job nahin aana]])/6</f>
        <v>0</v>
      </c>
      <c r="L1572" s="79" t="str">
        <f>IFERROR(AVERAGEIFS(Table1[Final Score],Table1[Month],Table1[[#This Row],[Month]],Table1[Year],Table1[[#This Row],[Year]],Table1[Mechanic Name],Table1[[#This Row],[Mechanic Name]]),"")</f>
        <v/>
      </c>
    </row>
    <row r="1573" spans="3:12" hidden="1" x14ac:dyDescent="0.35">
      <c r="C1573" s="80"/>
      <c r="K1573" s="81">
        <f>SUM(Table1[[#This Row],[Technical Knowledge]:[Repeat job nahin aana]])/6</f>
        <v>0</v>
      </c>
      <c r="L1573" s="79" t="str">
        <f>IFERROR(AVERAGEIFS(Table1[Final Score],Table1[Month],Table1[[#This Row],[Month]],Table1[Year],Table1[[#This Row],[Year]],Table1[Mechanic Name],Table1[[#This Row],[Mechanic Name]]),"")</f>
        <v/>
      </c>
    </row>
    <row r="1574" spans="3:12" hidden="1" x14ac:dyDescent="0.35">
      <c r="C1574" s="80"/>
      <c r="K1574" s="81">
        <f>SUM(Table1[[#This Row],[Technical Knowledge]:[Repeat job nahin aana]])/6</f>
        <v>0</v>
      </c>
      <c r="L1574" s="79" t="str">
        <f>IFERROR(AVERAGEIFS(Table1[Final Score],Table1[Month],Table1[[#This Row],[Month]],Table1[Year],Table1[[#This Row],[Year]],Table1[Mechanic Name],Table1[[#This Row],[Mechanic Name]]),"")</f>
        <v/>
      </c>
    </row>
    <row r="1575" spans="3:12" hidden="1" x14ac:dyDescent="0.35">
      <c r="C1575" s="80"/>
      <c r="K1575" s="81">
        <f>SUM(Table1[[#This Row],[Technical Knowledge]:[Repeat job nahin aana]])/6</f>
        <v>0</v>
      </c>
      <c r="L1575" s="79" t="str">
        <f>IFERROR(AVERAGEIFS(Table1[Final Score],Table1[Month],Table1[[#This Row],[Month]],Table1[Year],Table1[[#This Row],[Year]],Table1[Mechanic Name],Table1[[#This Row],[Mechanic Name]]),"")</f>
        <v/>
      </c>
    </row>
    <row r="1576" spans="3:12" hidden="1" x14ac:dyDescent="0.35">
      <c r="C1576" s="80"/>
      <c r="K1576" s="81">
        <f>SUM(Table1[[#This Row],[Technical Knowledge]:[Repeat job nahin aana]])/6</f>
        <v>0</v>
      </c>
      <c r="L1576" s="79" t="str">
        <f>IFERROR(AVERAGEIFS(Table1[Final Score],Table1[Month],Table1[[#This Row],[Month]],Table1[Year],Table1[[#This Row],[Year]],Table1[Mechanic Name],Table1[[#This Row],[Mechanic Name]]),"")</f>
        <v/>
      </c>
    </row>
    <row r="1577" spans="3:12" hidden="1" x14ac:dyDescent="0.35">
      <c r="C1577" s="80"/>
      <c r="K1577" s="81">
        <f>SUM(Table1[[#This Row],[Technical Knowledge]:[Repeat job nahin aana]])/6</f>
        <v>0</v>
      </c>
      <c r="L1577" s="79" t="str">
        <f>IFERROR(AVERAGEIFS(Table1[Final Score],Table1[Month],Table1[[#This Row],[Month]],Table1[Year],Table1[[#This Row],[Year]],Table1[Mechanic Name],Table1[[#This Row],[Mechanic Name]]),"")</f>
        <v/>
      </c>
    </row>
    <row r="1578" spans="3:12" hidden="1" x14ac:dyDescent="0.35">
      <c r="C1578" s="80"/>
      <c r="K1578" s="81">
        <f>SUM(Table1[[#This Row],[Technical Knowledge]:[Repeat job nahin aana]])/6</f>
        <v>0</v>
      </c>
      <c r="L1578" s="79" t="str">
        <f>IFERROR(AVERAGEIFS(Table1[Final Score],Table1[Month],Table1[[#This Row],[Month]],Table1[Year],Table1[[#This Row],[Year]],Table1[Mechanic Name],Table1[[#This Row],[Mechanic Name]]),"")</f>
        <v/>
      </c>
    </row>
    <row r="1579" spans="3:12" hidden="1" x14ac:dyDescent="0.35">
      <c r="C1579" s="80"/>
      <c r="K1579" s="81">
        <f>SUM(Table1[[#This Row],[Technical Knowledge]:[Repeat job nahin aana]])/6</f>
        <v>0</v>
      </c>
      <c r="L1579" s="79" t="str">
        <f>IFERROR(AVERAGEIFS(Table1[Final Score],Table1[Month],Table1[[#This Row],[Month]],Table1[Year],Table1[[#This Row],[Year]],Table1[Mechanic Name],Table1[[#This Row],[Mechanic Name]]),"")</f>
        <v/>
      </c>
    </row>
    <row r="1580" spans="3:12" hidden="1" x14ac:dyDescent="0.35">
      <c r="C1580" s="80"/>
      <c r="K1580" s="81">
        <f>SUM(Table1[[#This Row],[Technical Knowledge]:[Repeat job nahin aana]])/6</f>
        <v>0</v>
      </c>
      <c r="L1580" s="79" t="str">
        <f>IFERROR(AVERAGEIFS(Table1[Final Score],Table1[Month],Table1[[#This Row],[Month]],Table1[Year],Table1[[#This Row],[Year]],Table1[Mechanic Name],Table1[[#This Row],[Mechanic Name]]),"")</f>
        <v/>
      </c>
    </row>
    <row r="1581" spans="3:12" hidden="1" x14ac:dyDescent="0.35">
      <c r="C1581" s="80"/>
      <c r="K1581" s="81">
        <f>SUM(Table1[[#This Row],[Technical Knowledge]:[Repeat job nahin aana]])/6</f>
        <v>0</v>
      </c>
      <c r="L1581" s="79" t="str">
        <f>IFERROR(AVERAGEIFS(Table1[Final Score],Table1[Month],Table1[[#This Row],[Month]],Table1[Year],Table1[[#This Row],[Year]],Table1[Mechanic Name],Table1[[#This Row],[Mechanic Name]]),"")</f>
        <v/>
      </c>
    </row>
    <row r="1582" spans="3:12" hidden="1" x14ac:dyDescent="0.35">
      <c r="C1582" s="80"/>
      <c r="K1582" s="81">
        <f>SUM(Table1[[#This Row],[Technical Knowledge]:[Repeat job nahin aana]])/6</f>
        <v>0</v>
      </c>
      <c r="L1582" s="79" t="str">
        <f>IFERROR(AVERAGEIFS(Table1[Final Score],Table1[Month],Table1[[#This Row],[Month]],Table1[Year],Table1[[#This Row],[Year]],Table1[Mechanic Name],Table1[[#This Row],[Mechanic Name]]),"")</f>
        <v/>
      </c>
    </row>
    <row r="1583" spans="3:12" hidden="1" x14ac:dyDescent="0.35">
      <c r="C1583" s="80"/>
      <c r="K1583" s="81">
        <f>SUM(Table1[[#This Row],[Technical Knowledge]:[Repeat job nahin aana]])/6</f>
        <v>0</v>
      </c>
      <c r="L1583" s="79" t="str">
        <f>IFERROR(AVERAGEIFS(Table1[Final Score],Table1[Month],Table1[[#This Row],[Month]],Table1[Year],Table1[[#This Row],[Year]],Table1[Mechanic Name],Table1[[#This Row],[Mechanic Name]]),"")</f>
        <v/>
      </c>
    </row>
    <row r="1584" spans="3:12" hidden="1" x14ac:dyDescent="0.35">
      <c r="C1584" s="80"/>
      <c r="K1584" s="81">
        <f>SUM(Table1[[#This Row],[Technical Knowledge]:[Repeat job nahin aana]])/6</f>
        <v>0</v>
      </c>
      <c r="L1584" s="79" t="str">
        <f>IFERROR(AVERAGEIFS(Table1[Final Score],Table1[Month],Table1[[#This Row],[Month]],Table1[Year],Table1[[#This Row],[Year]],Table1[Mechanic Name],Table1[[#This Row],[Mechanic Name]]),"")</f>
        <v/>
      </c>
    </row>
    <row r="1585" spans="3:12" hidden="1" x14ac:dyDescent="0.35">
      <c r="C1585" s="80"/>
      <c r="K1585" s="81">
        <f>SUM(Table1[[#This Row],[Technical Knowledge]:[Repeat job nahin aana]])/6</f>
        <v>0</v>
      </c>
      <c r="L1585" s="79" t="str">
        <f>IFERROR(AVERAGEIFS(Table1[Final Score],Table1[Month],Table1[[#This Row],[Month]],Table1[Year],Table1[[#This Row],[Year]],Table1[Mechanic Name],Table1[[#This Row],[Mechanic Name]]),"")</f>
        <v/>
      </c>
    </row>
    <row r="1586" spans="3:12" hidden="1" x14ac:dyDescent="0.35">
      <c r="C1586" s="80"/>
      <c r="K1586" s="81">
        <f>SUM(Table1[[#This Row],[Technical Knowledge]:[Repeat job nahin aana]])/6</f>
        <v>0</v>
      </c>
      <c r="L1586" s="79" t="str">
        <f>IFERROR(AVERAGEIFS(Table1[Final Score],Table1[Month],Table1[[#This Row],[Month]],Table1[Year],Table1[[#This Row],[Year]],Table1[Mechanic Name],Table1[[#This Row],[Mechanic Name]]),"")</f>
        <v/>
      </c>
    </row>
    <row r="1587" spans="3:12" hidden="1" x14ac:dyDescent="0.35">
      <c r="C1587" s="80"/>
      <c r="K1587" s="81">
        <f>SUM(Table1[[#This Row],[Technical Knowledge]:[Repeat job nahin aana]])/6</f>
        <v>0</v>
      </c>
      <c r="L1587" s="79" t="str">
        <f>IFERROR(AVERAGEIFS(Table1[Final Score],Table1[Month],Table1[[#This Row],[Month]],Table1[Year],Table1[[#This Row],[Year]],Table1[Mechanic Name],Table1[[#This Row],[Mechanic Name]]),"")</f>
        <v/>
      </c>
    </row>
    <row r="1588" spans="3:12" hidden="1" x14ac:dyDescent="0.35">
      <c r="C1588" s="80"/>
      <c r="K1588" s="81">
        <f>SUM(Table1[[#This Row],[Technical Knowledge]:[Repeat job nahin aana]])/6</f>
        <v>0</v>
      </c>
      <c r="L1588" s="79" t="str">
        <f>IFERROR(AVERAGEIFS(Table1[Final Score],Table1[Month],Table1[[#This Row],[Month]],Table1[Year],Table1[[#This Row],[Year]],Table1[Mechanic Name],Table1[[#This Row],[Mechanic Name]]),"")</f>
        <v/>
      </c>
    </row>
    <row r="1589" spans="3:12" hidden="1" x14ac:dyDescent="0.35">
      <c r="C1589" s="80"/>
      <c r="K1589" s="81">
        <f>SUM(Table1[[#This Row],[Technical Knowledge]:[Repeat job nahin aana]])/6</f>
        <v>0</v>
      </c>
      <c r="L1589" s="79" t="str">
        <f>IFERROR(AVERAGEIFS(Table1[Final Score],Table1[Month],Table1[[#This Row],[Month]],Table1[Year],Table1[[#This Row],[Year]],Table1[Mechanic Name],Table1[[#This Row],[Mechanic Name]]),"")</f>
        <v/>
      </c>
    </row>
    <row r="1590" spans="3:12" hidden="1" x14ac:dyDescent="0.35">
      <c r="C1590" s="80"/>
      <c r="K1590" s="81">
        <f>SUM(Table1[[#This Row],[Technical Knowledge]:[Repeat job nahin aana]])/6</f>
        <v>0</v>
      </c>
      <c r="L1590" s="79" t="str">
        <f>IFERROR(AVERAGEIFS(Table1[Final Score],Table1[Month],Table1[[#This Row],[Month]],Table1[Year],Table1[[#This Row],[Year]],Table1[Mechanic Name],Table1[[#This Row],[Mechanic Name]]),"")</f>
        <v/>
      </c>
    </row>
    <row r="1591" spans="3:12" hidden="1" x14ac:dyDescent="0.35">
      <c r="C1591" s="80"/>
      <c r="K1591" s="81">
        <f>SUM(Table1[[#This Row],[Technical Knowledge]:[Repeat job nahin aana]])/6</f>
        <v>0</v>
      </c>
      <c r="L1591" s="79" t="str">
        <f>IFERROR(AVERAGEIFS(Table1[Final Score],Table1[Month],Table1[[#This Row],[Month]],Table1[Year],Table1[[#This Row],[Year]],Table1[Mechanic Name],Table1[[#This Row],[Mechanic Name]]),"")</f>
        <v/>
      </c>
    </row>
    <row r="1592" spans="3:12" hidden="1" x14ac:dyDescent="0.35">
      <c r="C1592" s="80"/>
      <c r="K1592" s="81">
        <f>SUM(Table1[[#This Row],[Technical Knowledge]:[Repeat job nahin aana]])/6</f>
        <v>0</v>
      </c>
      <c r="L1592" s="79" t="str">
        <f>IFERROR(AVERAGEIFS(Table1[Final Score],Table1[Month],Table1[[#This Row],[Month]],Table1[Year],Table1[[#This Row],[Year]],Table1[Mechanic Name],Table1[[#This Row],[Mechanic Name]]),"")</f>
        <v/>
      </c>
    </row>
    <row r="1593" spans="3:12" hidden="1" x14ac:dyDescent="0.35">
      <c r="C1593" s="80"/>
      <c r="K1593" s="81">
        <f>SUM(Table1[[#This Row],[Technical Knowledge]:[Repeat job nahin aana]])/6</f>
        <v>0</v>
      </c>
      <c r="L1593" s="79" t="str">
        <f>IFERROR(AVERAGEIFS(Table1[Final Score],Table1[Month],Table1[[#This Row],[Month]],Table1[Year],Table1[[#This Row],[Year]],Table1[Mechanic Name],Table1[[#This Row],[Mechanic Name]]),"")</f>
        <v/>
      </c>
    </row>
    <row r="1594" spans="3:12" hidden="1" x14ac:dyDescent="0.35">
      <c r="C1594" s="80"/>
      <c r="K1594" s="81">
        <f>SUM(Table1[[#This Row],[Technical Knowledge]:[Repeat job nahin aana]])/6</f>
        <v>0</v>
      </c>
      <c r="L1594" s="79" t="str">
        <f>IFERROR(AVERAGEIFS(Table1[Final Score],Table1[Month],Table1[[#This Row],[Month]],Table1[Year],Table1[[#This Row],[Year]],Table1[Mechanic Name],Table1[[#This Row],[Mechanic Name]]),"")</f>
        <v/>
      </c>
    </row>
    <row r="1595" spans="3:12" hidden="1" x14ac:dyDescent="0.35">
      <c r="C1595" s="80"/>
      <c r="K1595" s="81">
        <f>SUM(Table1[[#This Row],[Technical Knowledge]:[Repeat job nahin aana]])/6</f>
        <v>0</v>
      </c>
      <c r="L1595" s="79" t="str">
        <f>IFERROR(AVERAGEIFS(Table1[Final Score],Table1[Month],Table1[[#This Row],[Month]],Table1[Year],Table1[[#This Row],[Year]],Table1[Mechanic Name],Table1[[#This Row],[Mechanic Name]]),"")</f>
        <v/>
      </c>
    </row>
    <row r="1596" spans="3:12" hidden="1" x14ac:dyDescent="0.35">
      <c r="C1596" s="80"/>
      <c r="K1596" s="81">
        <f>SUM(Table1[[#This Row],[Technical Knowledge]:[Repeat job nahin aana]])/6</f>
        <v>0</v>
      </c>
      <c r="L1596" s="79" t="str">
        <f>IFERROR(AVERAGEIFS(Table1[Final Score],Table1[Month],Table1[[#This Row],[Month]],Table1[Year],Table1[[#This Row],[Year]],Table1[Mechanic Name],Table1[[#This Row],[Mechanic Name]]),"")</f>
        <v/>
      </c>
    </row>
    <row r="1597" spans="3:12" hidden="1" x14ac:dyDescent="0.35">
      <c r="C1597" s="80"/>
      <c r="K1597" s="81">
        <f>SUM(Table1[[#This Row],[Technical Knowledge]:[Repeat job nahin aana]])/6</f>
        <v>0</v>
      </c>
      <c r="L1597" s="79" t="str">
        <f>IFERROR(AVERAGEIFS(Table1[Final Score],Table1[Month],Table1[[#This Row],[Month]],Table1[Year],Table1[[#This Row],[Year]],Table1[Mechanic Name],Table1[[#This Row],[Mechanic Name]]),"")</f>
        <v/>
      </c>
    </row>
    <row r="1598" spans="3:12" hidden="1" x14ac:dyDescent="0.35">
      <c r="C1598" s="80"/>
      <c r="K1598" s="81">
        <f>SUM(Table1[[#This Row],[Technical Knowledge]:[Repeat job nahin aana]])/6</f>
        <v>0</v>
      </c>
      <c r="L1598" s="79" t="str">
        <f>IFERROR(AVERAGEIFS(Table1[Final Score],Table1[Month],Table1[[#This Row],[Month]],Table1[Year],Table1[[#This Row],[Year]],Table1[Mechanic Name],Table1[[#This Row],[Mechanic Name]]),"")</f>
        <v/>
      </c>
    </row>
    <row r="1599" spans="3:12" hidden="1" x14ac:dyDescent="0.35">
      <c r="C1599" s="80"/>
      <c r="K1599" s="81">
        <f>SUM(Table1[[#This Row],[Technical Knowledge]:[Repeat job nahin aana]])/6</f>
        <v>0</v>
      </c>
      <c r="L1599" s="79" t="str">
        <f>IFERROR(AVERAGEIFS(Table1[Final Score],Table1[Month],Table1[[#This Row],[Month]],Table1[Year],Table1[[#This Row],[Year]],Table1[Mechanic Name],Table1[[#This Row],[Mechanic Name]]),"")</f>
        <v/>
      </c>
    </row>
    <row r="1600" spans="3:12" hidden="1" x14ac:dyDescent="0.35">
      <c r="C1600" s="80"/>
      <c r="K1600" s="81">
        <f>SUM(Table1[[#This Row],[Technical Knowledge]:[Repeat job nahin aana]])/6</f>
        <v>0</v>
      </c>
      <c r="L1600" s="79" t="str">
        <f>IFERROR(AVERAGEIFS(Table1[Final Score],Table1[Month],Table1[[#This Row],[Month]],Table1[Year],Table1[[#This Row],[Year]],Table1[Mechanic Name],Table1[[#This Row],[Mechanic Name]]),"")</f>
        <v/>
      </c>
    </row>
    <row r="1601" spans="3:12" hidden="1" x14ac:dyDescent="0.35">
      <c r="C1601" s="80"/>
      <c r="K1601" s="81">
        <f>SUM(Table1[[#This Row],[Technical Knowledge]:[Repeat job nahin aana]])/6</f>
        <v>0</v>
      </c>
      <c r="L1601" s="79" t="str">
        <f>IFERROR(AVERAGEIFS(Table1[Final Score],Table1[Month],Table1[[#This Row],[Month]],Table1[Year],Table1[[#This Row],[Year]],Table1[Mechanic Name],Table1[[#This Row],[Mechanic Name]]),"")</f>
        <v/>
      </c>
    </row>
    <row r="1602" spans="3:12" hidden="1" x14ac:dyDescent="0.35">
      <c r="C1602" s="80"/>
      <c r="K1602" s="81">
        <f>SUM(Table1[[#This Row],[Technical Knowledge]:[Repeat job nahin aana]])/6</f>
        <v>0</v>
      </c>
      <c r="L1602" s="79" t="str">
        <f>IFERROR(AVERAGEIFS(Table1[Final Score],Table1[Month],Table1[[#This Row],[Month]],Table1[Year],Table1[[#This Row],[Year]],Table1[Mechanic Name],Table1[[#This Row],[Mechanic Name]]),"")</f>
        <v/>
      </c>
    </row>
    <row r="1603" spans="3:12" hidden="1" x14ac:dyDescent="0.35">
      <c r="C1603" s="80"/>
      <c r="K1603" s="81">
        <f>SUM(Table1[[#This Row],[Technical Knowledge]:[Repeat job nahin aana]])/6</f>
        <v>0</v>
      </c>
      <c r="L1603" s="79" t="str">
        <f>IFERROR(AVERAGEIFS(Table1[Final Score],Table1[Month],Table1[[#This Row],[Month]],Table1[Year],Table1[[#This Row],[Year]],Table1[Mechanic Name],Table1[[#This Row],[Mechanic Name]]),"")</f>
        <v/>
      </c>
    </row>
    <row r="1604" spans="3:12" hidden="1" x14ac:dyDescent="0.35">
      <c r="C1604" s="80"/>
      <c r="K1604" s="81">
        <f>SUM(Table1[[#This Row],[Technical Knowledge]:[Repeat job nahin aana]])/6</f>
        <v>0</v>
      </c>
      <c r="L1604" s="79" t="str">
        <f>IFERROR(AVERAGEIFS(Table1[Final Score],Table1[Month],Table1[[#This Row],[Month]],Table1[Year],Table1[[#This Row],[Year]],Table1[Mechanic Name],Table1[[#This Row],[Mechanic Name]]),"")</f>
        <v/>
      </c>
    </row>
    <row r="1605" spans="3:12" hidden="1" x14ac:dyDescent="0.35">
      <c r="C1605" s="80"/>
      <c r="K1605" s="81">
        <f>SUM(Table1[[#This Row],[Technical Knowledge]:[Repeat job nahin aana]])/6</f>
        <v>0</v>
      </c>
      <c r="L1605" s="79" t="str">
        <f>IFERROR(AVERAGEIFS(Table1[Final Score],Table1[Month],Table1[[#This Row],[Month]],Table1[Year],Table1[[#This Row],[Year]],Table1[Mechanic Name],Table1[[#This Row],[Mechanic Name]]),"")</f>
        <v/>
      </c>
    </row>
    <row r="1606" spans="3:12" hidden="1" x14ac:dyDescent="0.35">
      <c r="C1606" s="80"/>
      <c r="K1606" s="81">
        <f>SUM(Table1[[#This Row],[Technical Knowledge]:[Repeat job nahin aana]])/6</f>
        <v>0</v>
      </c>
      <c r="L1606" s="79" t="str">
        <f>IFERROR(AVERAGEIFS(Table1[Final Score],Table1[Month],Table1[[#This Row],[Month]],Table1[Year],Table1[[#This Row],[Year]],Table1[Mechanic Name],Table1[[#This Row],[Mechanic Name]]),"")</f>
        <v/>
      </c>
    </row>
    <row r="1607" spans="3:12" hidden="1" x14ac:dyDescent="0.35">
      <c r="C1607" s="80"/>
      <c r="K1607" s="81">
        <f>SUM(Table1[[#This Row],[Technical Knowledge]:[Repeat job nahin aana]])/6</f>
        <v>0</v>
      </c>
      <c r="L1607" s="79" t="str">
        <f>IFERROR(AVERAGEIFS(Table1[Final Score],Table1[Month],Table1[[#This Row],[Month]],Table1[Year],Table1[[#This Row],[Year]],Table1[Mechanic Name],Table1[[#This Row],[Mechanic Name]]),"")</f>
        <v/>
      </c>
    </row>
    <row r="1608" spans="3:12" hidden="1" x14ac:dyDescent="0.35">
      <c r="C1608" s="80"/>
      <c r="K1608" s="81">
        <f>SUM(Table1[[#This Row],[Technical Knowledge]:[Repeat job nahin aana]])/6</f>
        <v>0</v>
      </c>
      <c r="L1608" s="79" t="str">
        <f>IFERROR(AVERAGEIFS(Table1[Final Score],Table1[Month],Table1[[#This Row],[Month]],Table1[Year],Table1[[#This Row],[Year]],Table1[Mechanic Name],Table1[[#This Row],[Mechanic Name]]),"")</f>
        <v/>
      </c>
    </row>
    <row r="1609" spans="3:12" hidden="1" x14ac:dyDescent="0.35">
      <c r="C1609" s="80"/>
      <c r="K1609" s="81">
        <f>SUM(Table1[[#This Row],[Technical Knowledge]:[Repeat job nahin aana]])/6</f>
        <v>0</v>
      </c>
      <c r="L1609" s="79" t="str">
        <f>IFERROR(AVERAGEIFS(Table1[Final Score],Table1[Month],Table1[[#This Row],[Month]],Table1[Year],Table1[[#This Row],[Year]],Table1[Mechanic Name],Table1[[#This Row],[Mechanic Name]]),"")</f>
        <v/>
      </c>
    </row>
    <row r="1610" spans="3:12" hidden="1" x14ac:dyDescent="0.35">
      <c r="C1610" s="80"/>
      <c r="K1610" s="81">
        <f>SUM(Table1[[#This Row],[Technical Knowledge]:[Repeat job nahin aana]])/6</f>
        <v>0</v>
      </c>
      <c r="L1610" s="79" t="str">
        <f>IFERROR(AVERAGEIFS(Table1[Final Score],Table1[Month],Table1[[#This Row],[Month]],Table1[Year],Table1[[#This Row],[Year]],Table1[Mechanic Name],Table1[[#This Row],[Mechanic Name]]),"")</f>
        <v/>
      </c>
    </row>
    <row r="1611" spans="3:12" hidden="1" x14ac:dyDescent="0.35">
      <c r="C1611" s="80"/>
      <c r="K1611" s="81">
        <f>SUM(Table1[[#This Row],[Technical Knowledge]:[Repeat job nahin aana]])/6</f>
        <v>0</v>
      </c>
      <c r="L1611" s="79" t="str">
        <f>IFERROR(AVERAGEIFS(Table1[Final Score],Table1[Month],Table1[[#This Row],[Month]],Table1[Year],Table1[[#This Row],[Year]],Table1[Mechanic Name],Table1[[#This Row],[Mechanic Name]]),"")</f>
        <v/>
      </c>
    </row>
    <row r="1612" spans="3:12" hidden="1" x14ac:dyDescent="0.35">
      <c r="C1612" s="80"/>
      <c r="K1612" s="81">
        <f>SUM(Table1[[#This Row],[Technical Knowledge]:[Repeat job nahin aana]])/6</f>
        <v>0</v>
      </c>
      <c r="L1612" s="79" t="str">
        <f>IFERROR(AVERAGEIFS(Table1[Final Score],Table1[Month],Table1[[#This Row],[Month]],Table1[Year],Table1[[#This Row],[Year]],Table1[Mechanic Name],Table1[[#This Row],[Mechanic Name]]),"")</f>
        <v/>
      </c>
    </row>
    <row r="1613" spans="3:12" hidden="1" x14ac:dyDescent="0.35">
      <c r="C1613" s="80"/>
      <c r="K1613" s="81">
        <f>SUM(Table1[[#This Row],[Technical Knowledge]:[Repeat job nahin aana]])/6</f>
        <v>0</v>
      </c>
      <c r="L1613" s="79" t="str">
        <f>IFERROR(AVERAGEIFS(Table1[Final Score],Table1[Month],Table1[[#This Row],[Month]],Table1[Year],Table1[[#This Row],[Year]],Table1[Mechanic Name],Table1[[#This Row],[Mechanic Name]]),"")</f>
        <v/>
      </c>
    </row>
    <row r="1614" spans="3:12" hidden="1" x14ac:dyDescent="0.35">
      <c r="C1614" s="80"/>
      <c r="K1614" s="81">
        <f>SUM(Table1[[#This Row],[Technical Knowledge]:[Repeat job nahin aana]])/6</f>
        <v>0</v>
      </c>
      <c r="L1614" s="79" t="str">
        <f>IFERROR(AVERAGEIFS(Table1[Final Score],Table1[Month],Table1[[#This Row],[Month]],Table1[Year],Table1[[#This Row],[Year]],Table1[Mechanic Name],Table1[[#This Row],[Mechanic Name]]),"")</f>
        <v/>
      </c>
    </row>
    <row r="1615" spans="3:12" hidden="1" x14ac:dyDescent="0.35">
      <c r="C1615" s="80"/>
      <c r="K1615" s="81">
        <f>SUM(Table1[[#This Row],[Technical Knowledge]:[Repeat job nahin aana]])/6</f>
        <v>0</v>
      </c>
      <c r="L1615" s="79" t="str">
        <f>IFERROR(AVERAGEIFS(Table1[Final Score],Table1[Month],Table1[[#This Row],[Month]],Table1[Year],Table1[[#This Row],[Year]],Table1[Mechanic Name],Table1[[#This Row],[Mechanic Name]]),"")</f>
        <v/>
      </c>
    </row>
    <row r="1616" spans="3:12" hidden="1" x14ac:dyDescent="0.35">
      <c r="C1616" s="80"/>
      <c r="K1616" s="81">
        <f>SUM(Table1[[#This Row],[Technical Knowledge]:[Repeat job nahin aana]])/6</f>
        <v>0</v>
      </c>
      <c r="L1616" s="79" t="str">
        <f>IFERROR(AVERAGEIFS(Table1[Final Score],Table1[Month],Table1[[#This Row],[Month]],Table1[Year],Table1[[#This Row],[Year]],Table1[Mechanic Name],Table1[[#This Row],[Mechanic Name]]),"")</f>
        <v/>
      </c>
    </row>
    <row r="1617" spans="3:12" hidden="1" x14ac:dyDescent="0.35">
      <c r="C1617" s="80"/>
      <c r="K1617" s="81">
        <f>SUM(Table1[[#This Row],[Technical Knowledge]:[Repeat job nahin aana]])/6</f>
        <v>0</v>
      </c>
      <c r="L1617" s="79" t="str">
        <f>IFERROR(AVERAGEIFS(Table1[Final Score],Table1[Month],Table1[[#This Row],[Month]],Table1[Year],Table1[[#This Row],[Year]],Table1[Mechanic Name],Table1[[#This Row],[Mechanic Name]]),"")</f>
        <v/>
      </c>
    </row>
    <row r="1618" spans="3:12" hidden="1" x14ac:dyDescent="0.35">
      <c r="C1618" s="80"/>
      <c r="K1618" s="81">
        <f>SUM(Table1[[#This Row],[Technical Knowledge]:[Repeat job nahin aana]])/6</f>
        <v>0</v>
      </c>
      <c r="L1618" s="79" t="str">
        <f>IFERROR(AVERAGEIFS(Table1[Final Score],Table1[Month],Table1[[#This Row],[Month]],Table1[Year],Table1[[#This Row],[Year]],Table1[Mechanic Name],Table1[[#This Row],[Mechanic Name]]),"")</f>
        <v/>
      </c>
    </row>
    <row r="1619" spans="3:12" hidden="1" x14ac:dyDescent="0.35">
      <c r="C1619" s="80"/>
      <c r="K1619" s="81">
        <f>SUM(Table1[[#This Row],[Technical Knowledge]:[Repeat job nahin aana]])/6</f>
        <v>0</v>
      </c>
      <c r="L1619" s="79" t="str">
        <f>IFERROR(AVERAGEIFS(Table1[Final Score],Table1[Month],Table1[[#This Row],[Month]],Table1[Year],Table1[[#This Row],[Year]],Table1[Mechanic Name],Table1[[#This Row],[Mechanic Name]]),"")</f>
        <v/>
      </c>
    </row>
    <row r="1620" spans="3:12" hidden="1" x14ac:dyDescent="0.35">
      <c r="C1620" s="80"/>
      <c r="K1620" s="81">
        <f>SUM(Table1[[#This Row],[Technical Knowledge]:[Repeat job nahin aana]])/6</f>
        <v>0</v>
      </c>
      <c r="L1620" s="79" t="str">
        <f>IFERROR(AVERAGEIFS(Table1[Final Score],Table1[Month],Table1[[#This Row],[Month]],Table1[Year],Table1[[#This Row],[Year]],Table1[Mechanic Name],Table1[[#This Row],[Mechanic Name]]),"")</f>
        <v/>
      </c>
    </row>
    <row r="1621" spans="3:12" hidden="1" x14ac:dyDescent="0.35">
      <c r="C1621" s="80"/>
      <c r="K1621" s="81">
        <f>SUM(Table1[[#This Row],[Technical Knowledge]:[Repeat job nahin aana]])/6</f>
        <v>0</v>
      </c>
      <c r="L1621" s="79" t="str">
        <f>IFERROR(AVERAGEIFS(Table1[Final Score],Table1[Month],Table1[[#This Row],[Month]],Table1[Year],Table1[[#This Row],[Year]],Table1[Mechanic Name],Table1[[#This Row],[Mechanic Name]]),"")</f>
        <v/>
      </c>
    </row>
    <row r="1622" spans="3:12" hidden="1" x14ac:dyDescent="0.35">
      <c r="C1622" s="80"/>
      <c r="K1622" s="81">
        <f>SUM(Table1[[#This Row],[Technical Knowledge]:[Repeat job nahin aana]])/6</f>
        <v>0</v>
      </c>
      <c r="L1622" s="79" t="str">
        <f>IFERROR(AVERAGEIFS(Table1[Final Score],Table1[Month],Table1[[#This Row],[Month]],Table1[Year],Table1[[#This Row],[Year]],Table1[Mechanic Name],Table1[[#This Row],[Mechanic Name]]),"")</f>
        <v/>
      </c>
    </row>
    <row r="1623" spans="3:12" hidden="1" x14ac:dyDescent="0.35">
      <c r="C1623" s="80"/>
      <c r="K1623" s="81">
        <f>SUM(Table1[[#This Row],[Technical Knowledge]:[Repeat job nahin aana]])/6</f>
        <v>0</v>
      </c>
      <c r="L1623" s="79" t="str">
        <f>IFERROR(AVERAGEIFS(Table1[Final Score],Table1[Month],Table1[[#This Row],[Month]],Table1[Year],Table1[[#This Row],[Year]],Table1[Mechanic Name],Table1[[#This Row],[Mechanic Name]]),"")</f>
        <v/>
      </c>
    </row>
    <row r="1624" spans="3:12" hidden="1" x14ac:dyDescent="0.35">
      <c r="C1624" s="80"/>
      <c r="K1624" s="81">
        <f>SUM(Table1[[#This Row],[Technical Knowledge]:[Repeat job nahin aana]])/6</f>
        <v>0</v>
      </c>
      <c r="L1624" s="79" t="str">
        <f>IFERROR(AVERAGEIFS(Table1[Final Score],Table1[Month],Table1[[#This Row],[Month]],Table1[Year],Table1[[#This Row],[Year]],Table1[Mechanic Name],Table1[[#This Row],[Mechanic Name]]),"")</f>
        <v/>
      </c>
    </row>
    <row r="1625" spans="3:12" hidden="1" x14ac:dyDescent="0.35">
      <c r="C1625" s="80"/>
      <c r="K1625" s="81">
        <f>SUM(Table1[[#This Row],[Technical Knowledge]:[Repeat job nahin aana]])/6</f>
        <v>0</v>
      </c>
      <c r="L1625" s="79" t="str">
        <f>IFERROR(AVERAGEIFS(Table1[Final Score],Table1[Month],Table1[[#This Row],[Month]],Table1[Year],Table1[[#This Row],[Year]],Table1[Mechanic Name],Table1[[#This Row],[Mechanic Name]]),"")</f>
        <v/>
      </c>
    </row>
    <row r="1626" spans="3:12" hidden="1" x14ac:dyDescent="0.35">
      <c r="C1626" s="80"/>
      <c r="K1626" s="81">
        <f>SUM(Table1[[#This Row],[Technical Knowledge]:[Repeat job nahin aana]])/6</f>
        <v>0</v>
      </c>
      <c r="L1626" s="79" t="str">
        <f>IFERROR(AVERAGEIFS(Table1[Final Score],Table1[Month],Table1[[#This Row],[Month]],Table1[Year],Table1[[#This Row],[Year]],Table1[Mechanic Name],Table1[[#This Row],[Mechanic Name]]),"")</f>
        <v/>
      </c>
    </row>
    <row r="1627" spans="3:12" hidden="1" x14ac:dyDescent="0.35">
      <c r="C1627" s="80"/>
      <c r="K1627" s="81">
        <f>SUM(Table1[[#This Row],[Technical Knowledge]:[Repeat job nahin aana]])/6</f>
        <v>0</v>
      </c>
      <c r="L1627" s="79" t="str">
        <f>IFERROR(AVERAGEIFS(Table1[Final Score],Table1[Month],Table1[[#This Row],[Month]],Table1[Year],Table1[[#This Row],[Year]],Table1[Mechanic Name],Table1[[#This Row],[Mechanic Name]]),"")</f>
        <v/>
      </c>
    </row>
    <row r="1628" spans="3:12" hidden="1" x14ac:dyDescent="0.35">
      <c r="C1628" s="80"/>
      <c r="K1628" s="81">
        <f>SUM(Table1[[#This Row],[Technical Knowledge]:[Repeat job nahin aana]])/6</f>
        <v>0</v>
      </c>
      <c r="L1628" s="79" t="str">
        <f>IFERROR(AVERAGEIFS(Table1[Final Score],Table1[Month],Table1[[#This Row],[Month]],Table1[Year],Table1[[#This Row],[Year]],Table1[Mechanic Name],Table1[[#This Row],[Mechanic Name]]),"")</f>
        <v/>
      </c>
    </row>
    <row r="1629" spans="3:12" hidden="1" x14ac:dyDescent="0.35">
      <c r="C1629" s="80"/>
      <c r="K1629" s="81">
        <f>SUM(Table1[[#This Row],[Technical Knowledge]:[Repeat job nahin aana]])/6</f>
        <v>0</v>
      </c>
      <c r="L1629" s="79" t="str">
        <f>IFERROR(AVERAGEIFS(Table1[Final Score],Table1[Month],Table1[[#This Row],[Month]],Table1[Year],Table1[[#This Row],[Year]],Table1[Mechanic Name],Table1[[#This Row],[Mechanic Name]]),"")</f>
        <v/>
      </c>
    </row>
    <row r="1630" spans="3:12" hidden="1" x14ac:dyDescent="0.35">
      <c r="C1630" s="80"/>
      <c r="K1630" s="81">
        <f>SUM(Table1[[#This Row],[Technical Knowledge]:[Repeat job nahin aana]])/6</f>
        <v>0</v>
      </c>
      <c r="L1630" s="79" t="str">
        <f>IFERROR(AVERAGEIFS(Table1[Final Score],Table1[Month],Table1[[#This Row],[Month]],Table1[Year],Table1[[#This Row],[Year]],Table1[Mechanic Name],Table1[[#This Row],[Mechanic Name]]),"")</f>
        <v/>
      </c>
    </row>
    <row r="1631" spans="3:12" hidden="1" x14ac:dyDescent="0.35">
      <c r="C1631" s="80"/>
      <c r="K1631" s="81">
        <f>SUM(Table1[[#This Row],[Technical Knowledge]:[Repeat job nahin aana]])/6</f>
        <v>0</v>
      </c>
      <c r="L1631" s="79" t="str">
        <f>IFERROR(AVERAGEIFS(Table1[Final Score],Table1[Month],Table1[[#This Row],[Month]],Table1[Year],Table1[[#This Row],[Year]],Table1[Mechanic Name],Table1[[#This Row],[Mechanic Name]]),"")</f>
        <v/>
      </c>
    </row>
    <row r="1632" spans="3:12" hidden="1" x14ac:dyDescent="0.35">
      <c r="C1632" s="80"/>
      <c r="K1632" s="81">
        <f>SUM(Table1[[#This Row],[Technical Knowledge]:[Repeat job nahin aana]])/6</f>
        <v>0</v>
      </c>
      <c r="L1632" s="79" t="str">
        <f>IFERROR(AVERAGEIFS(Table1[Final Score],Table1[Month],Table1[[#This Row],[Month]],Table1[Year],Table1[[#This Row],[Year]],Table1[Mechanic Name],Table1[[#This Row],[Mechanic Name]]),"")</f>
        <v/>
      </c>
    </row>
    <row r="1633" spans="3:12" hidden="1" x14ac:dyDescent="0.35">
      <c r="C1633" s="80"/>
      <c r="K1633" s="81">
        <f>SUM(Table1[[#This Row],[Technical Knowledge]:[Repeat job nahin aana]])/6</f>
        <v>0</v>
      </c>
      <c r="L1633" s="79" t="str">
        <f>IFERROR(AVERAGEIFS(Table1[Final Score],Table1[Month],Table1[[#This Row],[Month]],Table1[Year],Table1[[#This Row],[Year]],Table1[Mechanic Name],Table1[[#This Row],[Mechanic Name]]),"")</f>
        <v/>
      </c>
    </row>
    <row r="1634" spans="3:12" hidden="1" x14ac:dyDescent="0.35">
      <c r="C1634" s="80"/>
      <c r="K1634" s="81">
        <f>SUM(Table1[[#This Row],[Technical Knowledge]:[Repeat job nahin aana]])/6</f>
        <v>0</v>
      </c>
      <c r="L1634" s="79" t="str">
        <f>IFERROR(AVERAGEIFS(Table1[Final Score],Table1[Month],Table1[[#This Row],[Month]],Table1[Year],Table1[[#This Row],[Year]],Table1[Mechanic Name],Table1[[#This Row],[Mechanic Name]]),"")</f>
        <v/>
      </c>
    </row>
    <row r="1635" spans="3:12" hidden="1" x14ac:dyDescent="0.35">
      <c r="C1635" s="80"/>
      <c r="K1635" s="81">
        <f>SUM(Table1[[#This Row],[Technical Knowledge]:[Repeat job nahin aana]])/6</f>
        <v>0</v>
      </c>
      <c r="L1635" s="79" t="str">
        <f>IFERROR(AVERAGEIFS(Table1[Final Score],Table1[Month],Table1[[#This Row],[Month]],Table1[Year],Table1[[#This Row],[Year]],Table1[Mechanic Name],Table1[[#This Row],[Mechanic Name]]),"")</f>
        <v/>
      </c>
    </row>
    <row r="1636" spans="3:12" hidden="1" x14ac:dyDescent="0.35">
      <c r="C1636" s="80"/>
      <c r="K1636" s="81">
        <f>SUM(Table1[[#This Row],[Technical Knowledge]:[Repeat job nahin aana]])/6</f>
        <v>0</v>
      </c>
      <c r="L1636" s="79" t="str">
        <f>IFERROR(AVERAGEIFS(Table1[Final Score],Table1[Month],Table1[[#This Row],[Month]],Table1[Year],Table1[[#This Row],[Year]],Table1[Mechanic Name],Table1[[#This Row],[Mechanic Name]]),"")</f>
        <v/>
      </c>
    </row>
    <row r="1637" spans="3:12" hidden="1" x14ac:dyDescent="0.35">
      <c r="C1637" s="80"/>
      <c r="K1637" s="81">
        <f>SUM(Table1[[#This Row],[Technical Knowledge]:[Repeat job nahin aana]])/6</f>
        <v>0</v>
      </c>
      <c r="L1637" s="79" t="str">
        <f>IFERROR(AVERAGEIFS(Table1[Final Score],Table1[Month],Table1[[#This Row],[Month]],Table1[Year],Table1[[#This Row],[Year]],Table1[Mechanic Name],Table1[[#This Row],[Mechanic Name]]),"")</f>
        <v/>
      </c>
    </row>
    <row r="1638" spans="3:12" hidden="1" x14ac:dyDescent="0.35">
      <c r="C1638" s="80"/>
      <c r="K1638" s="81">
        <f>SUM(Table1[[#This Row],[Technical Knowledge]:[Repeat job nahin aana]])/6</f>
        <v>0</v>
      </c>
      <c r="L1638" s="79" t="str">
        <f>IFERROR(AVERAGEIFS(Table1[Final Score],Table1[Month],Table1[[#This Row],[Month]],Table1[Year],Table1[[#This Row],[Year]],Table1[Mechanic Name],Table1[[#This Row],[Mechanic Name]]),"")</f>
        <v/>
      </c>
    </row>
    <row r="1639" spans="3:12" hidden="1" x14ac:dyDescent="0.35">
      <c r="C1639" s="80"/>
      <c r="K1639" s="81">
        <f>SUM(Table1[[#This Row],[Technical Knowledge]:[Repeat job nahin aana]])/6</f>
        <v>0</v>
      </c>
      <c r="L1639" s="79" t="str">
        <f>IFERROR(AVERAGEIFS(Table1[Final Score],Table1[Month],Table1[[#This Row],[Month]],Table1[Year],Table1[[#This Row],[Year]],Table1[Mechanic Name],Table1[[#This Row],[Mechanic Name]]),"")</f>
        <v/>
      </c>
    </row>
    <row r="1640" spans="3:12" hidden="1" x14ac:dyDescent="0.35">
      <c r="C1640" s="80"/>
      <c r="K1640" s="81">
        <f>SUM(Table1[[#This Row],[Technical Knowledge]:[Repeat job nahin aana]])/6</f>
        <v>0</v>
      </c>
      <c r="L1640" s="79" t="str">
        <f>IFERROR(AVERAGEIFS(Table1[Final Score],Table1[Month],Table1[[#This Row],[Month]],Table1[Year],Table1[[#This Row],[Year]],Table1[Mechanic Name],Table1[[#This Row],[Mechanic Name]]),"")</f>
        <v/>
      </c>
    </row>
    <row r="1641" spans="3:12" hidden="1" x14ac:dyDescent="0.35">
      <c r="C1641" s="80"/>
      <c r="K1641" s="81">
        <f>SUM(Table1[[#This Row],[Technical Knowledge]:[Repeat job nahin aana]])/6</f>
        <v>0</v>
      </c>
      <c r="L1641" s="79" t="str">
        <f>IFERROR(AVERAGEIFS(Table1[Final Score],Table1[Month],Table1[[#This Row],[Month]],Table1[Year],Table1[[#This Row],[Year]],Table1[Mechanic Name],Table1[[#This Row],[Mechanic Name]]),"")</f>
        <v/>
      </c>
    </row>
    <row r="1642" spans="3:12" hidden="1" x14ac:dyDescent="0.35">
      <c r="C1642" s="80"/>
      <c r="K1642" s="81">
        <f>SUM(Table1[[#This Row],[Technical Knowledge]:[Repeat job nahin aana]])/6</f>
        <v>0</v>
      </c>
      <c r="L1642" s="79" t="str">
        <f>IFERROR(AVERAGEIFS(Table1[Final Score],Table1[Month],Table1[[#This Row],[Month]],Table1[Year],Table1[[#This Row],[Year]],Table1[Mechanic Name],Table1[[#This Row],[Mechanic Name]]),"")</f>
        <v/>
      </c>
    </row>
    <row r="1643" spans="3:12" hidden="1" x14ac:dyDescent="0.35">
      <c r="C1643" s="80"/>
      <c r="K1643" s="81">
        <f>SUM(Table1[[#This Row],[Technical Knowledge]:[Repeat job nahin aana]])/6</f>
        <v>0</v>
      </c>
      <c r="L1643" s="79" t="str">
        <f>IFERROR(AVERAGEIFS(Table1[Final Score],Table1[Month],Table1[[#This Row],[Month]],Table1[Year],Table1[[#This Row],[Year]],Table1[Mechanic Name],Table1[[#This Row],[Mechanic Name]]),"")</f>
        <v/>
      </c>
    </row>
    <row r="1644" spans="3:12" hidden="1" x14ac:dyDescent="0.35">
      <c r="C1644" s="80"/>
      <c r="K1644" s="81">
        <f>SUM(Table1[[#This Row],[Technical Knowledge]:[Repeat job nahin aana]])/6</f>
        <v>0</v>
      </c>
      <c r="L1644" s="79" t="str">
        <f>IFERROR(AVERAGEIFS(Table1[Final Score],Table1[Month],Table1[[#This Row],[Month]],Table1[Year],Table1[[#This Row],[Year]],Table1[Mechanic Name],Table1[[#This Row],[Mechanic Name]]),"")</f>
        <v/>
      </c>
    </row>
    <row r="1645" spans="3:12" hidden="1" x14ac:dyDescent="0.35">
      <c r="C1645" s="80"/>
      <c r="K1645" s="81">
        <f>SUM(Table1[[#This Row],[Technical Knowledge]:[Repeat job nahin aana]])/6</f>
        <v>0</v>
      </c>
      <c r="L1645" s="79" t="str">
        <f>IFERROR(AVERAGEIFS(Table1[Final Score],Table1[Month],Table1[[#This Row],[Month]],Table1[Year],Table1[[#This Row],[Year]],Table1[Mechanic Name],Table1[[#This Row],[Mechanic Name]]),"")</f>
        <v/>
      </c>
    </row>
    <row r="1646" spans="3:12" hidden="1" x14ac:dyDescent="0.35">
      <c r="C1646" s="80"/>
      <c r="K1646" s="81">
        <f>SUM(Table1[[#This Row],[Technical Knowledge]:[Repeat job nahin aana]])/6</f>
        <v>0</v>
      </c>
      <c r="L1646" s="79" t="str">
        <f>IFERROR(AVERAGEIFS(Table1[Final Score],Table1[Month],Table1[[#This Row],[Month]],Table1[Year],Table1[[#This Row],[Year]],Table1[Mechanic Name],Table1[[#This Row],[Mechanic Name]]),"")</f>
        <v/>
      </c>
    </row>
    <row r="1647" spans="3:12" hidden="1" x14ac:dyDescent="0.35">
      <c r="C1647" s="80"/>
      <c r="K1647" s="81">
        <f>SUM(Table1[[#This Row],[Technical Knowledge]:[Repeat job nahin aana]])/6</f>
        <v>0</v>
      </c>
      <c r="L1647" s="79" t="str">
        <f>IFERROR(AVERAGEIFS(Table1[Final Score],Table1[Month],Table1[[#This Row],[Month]],Table1[Year],Table1[[#This Row],[Year]],Table1[Mechanic Name],Table1[[#This Row],[Mechanic Name]]),"")</f>
        <v/>
      </c>
    </row>
    <row r="1648" spans="3:12" hidden="1" x14ac:dyDescent="0.35">
      <c r="C1648" s="80"/>
      <c r="K1648" s="81">
        <f>SUM(Table1[[#This Row],[Technical Knowledge]:[Repeat job nahin aana]])/6</f>
        <v>0</v>
      </c>
      <c r="L1648" s="79" t="str">
        <f>IFERROR(AVERAGEIFS(Table1[Final Score],Table1[Month],Table1[[#This Row],[Month]],Table1[Year],Table1[[#This Row],[Year]],Table1[Mechanic Name],Table1[[#This Row],[Mechanic Name]]),"")</f>
        <v/>
      </c>
    </row>
    <row r="1649" spans="3:12" hidden="1" x14ac:dyDescent="0.35">
      <c r="C1649" s="80"/>
      <c r="K1649" s="81">
        <f>SUM(Table1[[#This Row],[Technical Knowledge]:[Repeat job nahin aana]])/6</f>
        <v>0</v>
      </c>
      <c r="L1649" s="79" t="str">
        <f>IFERROR(AVERAGEIFS(Table1[Final Score],Table1[Month],Table1[[#This Row],[Month]],Table1[Year],Table1[[#This Row],[Year]],Table1[Mechanic Name],Table1[[#This Row],[Mechanic Name]]),"")</f>
        <v/>
      </c>
    </row>
    <row r="1650" spans="3:12" hidden="1" x14ac:dyDescent="0.35">
      <c r="C1650" s="80"/>
      <c r="K1650" s="81">
        <f>SUM(Table1[[#This Row],[Technical Knowledge]:[Repeat job nahin aana]])/6</f>
        <v>0</v>
      </c>
      <c r="L1650" s="79" t="str">
        <f>IFERROR(AVERAGEIFS(Table1[Final Score],Table1[Month],Table1[[#This Row],[Month]],Table1[Year],Table1[[#This Row],[Year]],Table1[Mechanic Name],Table1[[#This Row],[Mechanic Name]]),"")</f>
        <v/>
      </c>
    </row>
    <row r="1651" spans="3:12" hidden="1" x14ac:dyDescent="0.35">
      <c r="C1651" s="80"/>
      <c r="K1651" s="81">
        <f>SUM(Table1[[#This Row],[Technical Knowledge]:[Repeat job nahin aana]])/6</f>
        <v>0</v>
      </c>
      <c r="L1651" s="79" t="str">
        <f>IFERROR(AVERAGEIFS(Table1[Final Score],Table1[Month],Table1[[#This Row],[Month]],Table1[Year],Table1[[#This Row],[Year]],Table1[Mechanic Name],Table1[[#This Row],[Mechanic Name]]),"")</f>
        <v/>
      </c>
    </row>
    <row r="1652" spans="3:12" hidden="1" x14ac:dyDescent="0.35">
      <c r="C1652" s="80"/>
      <c r="K1652" s="81">
        <f>SUM(Table1[[#This Row],[Technical Knowledge]:[Repeat job nahin aana]])/6</f>
        <v>0</v>
      </c>
      <c r="L1652" s="79" t="str">
        <f>IFERROR(AVERAGEIFS(Table1[Final Score],Table1[Month],Table1[[#This Row],[Month]],Table1[Year],Table1[[#This Row],[Year]],Table1[Mechanic Name],Table1[[#This Row],[Mechanic Name]]),"")</f>
        <v/>
      </c>
    </row>
    <row r="1653" spans="3:12" hidden="1" x14ac:dyDescent="0.35">
      <c r="C1653" s="80"/>
      <c r="K1653" s="81">
        <f>SUM(Table1[[#This Row],[Technical Knowledge]:[Repeat job nahin aana]])/6</f>
        <v>0</v>
      </c>
      <c r="L1653" s="79" t="str">
        <f>IFERROR(AVERAGEIFS(Table1[Final Score],Table1[Month],Table1[[#This Row],[Month]],Table1[Year],Table1[[#This Row],[Year]],Table1[Mechanic Name],Table1[[#This Row],[Mechanic Name]]),"")</f>
        <v/>
      </c>
    </row>
    <row r="1654" spans="3:12" hidden="1" x14ac:dyDescent="0.35">
      <c r="C1654" s="80"/>
      <c r="K1654" s="81">
        <f>SUM(Table1[[#This Row],[Technical Knowledge]:[Repeat job nahin aana]])/6</f>
        <v>0</v>
      </c>
      <c r="L1654" s="79" t="str">
        <f>IFERROR(AVERAGEIFS(Table1[Final Score],Table1[Month],Table1[[#This Row],[Month]],Table1[Year],Table1[[#This Row],[Year]],Table1[Mechanic Name],Table1[[#This Row],[Mechanic Name]]),"")</f>
        <v/>
      </c>
    </row>
    <row r="1655" spans="3:12" hidden="1" x14ac:dyDescent="0.35">
      <c r="C1655" s="80"/>
      <c r="K1655" s="81">
        <f>SUM(Table1[[#This Row],[Technical Knowledge]:[Repeat job nahin aana]])/6</f>
        <v>0</v>
      </c>
      <c r="L1655" s="79" t="str">
        <f>IFERROR(AVERAGEIFS(Table1[Final Score],Table1[Month],Table1[[#This Row],[Month]],Table1[Year],Table1[[#This Row],[Year]],Table1[Mechanic Name],Table1[[#This Row],[Mechanic Name]]),"")</f>
        <v/>
      </c>
    </row>
    <row r="1656" spans="3:12" hidden="1" x14ac:dyDescent="0.35">
      <c r="C1656" s="80"/>
      <c r="K1656" s="81">
        <f>SUM(Table1[[#This Row],[Technical Knowledge]:[Repeat job nahin aana]])/6</f>
        <v>0</v>
      </c>
      <c r="L1656" s="79" t="str">
        <f>IFERROR(AVERAGEIFS(Table1[Final Score],Table1[Month],Table1[[#This Row],[Month]],Table1[Year],Table1[[#This Row],[Year]],Table1[Mechanic Name],Table1[[#This Row],[Mechanic Name]]),"")</f>
        <v/>
      </c>
    </row>
    <row r="1657" spans="3:12" hidden="1" x14ac:dyDescent="0.35">
      <c r="C1657" s="80"/>
      <c r="K1657" s="81">
        <f>SUM(Table1[[#This Row],[Technical Knowledge]:[Repeat job nahin aana]])/6</f>
        <v>0</v>
      </c>
      <c r="L1657" s="79" t="str">
        <f>IFERROR(AVERAGEIFS(Table1[Final Score],Table1[Month],Table1[[#This Row],[Month]],Table1[Year],Table1[[#This Row],[Year]],Table1[Mechanic Name],Table1[[#This Row],[Mechanic Name]]),"")</f>
        <v/>
      </c>
    </row>
    <row r="1658" spans="3:12" hidden="1" x14ac:dyDescent="0.35">
      <c r="C1658" s="80"/>
      <c r="K1658" s="81">
        <f>SUM(Table1[[#This Row],[Technical Knowledge]:[Repeat job nahin aana]])/6</f>
        <v>0</v>
      </c>
      <c r="L1658" s="79" t="str">
        <f>IFERROR(AVERAGEIFS(Table1[Final Score],Table1[Month],Table1[[#This Row],[Month]],Table1[Year],Table1[[#This Row],[Year]],Table1[Mechanic Name],Table1[[#This Row],[Mechanic Name]]),"")</f>
        <v/>
      </c>
    </row>
    <row r="1659" spans="3:12" hidden="1" x14ac:dyDescent="0.35">
      <c r="C1659" s="80"/>
      <c r="K1659" s="81">
        <f>SUM(Table1[[#This Row],[Technical Knowledge]:[Repeat job nahin aana]])/6</f>
        <v>0</v>
      </c>
      <c r="L1659" s="79" t="str">
        <f>IFERROR(AVERAGEIFS(Table1[Final Score],Table1[Month],Table1[[#This Row],[Month]],Table1[Year],Table1[[#This Row],[Year]],Table1[Mechanic Name],Table1[[#This Row],[Mechanic Name]]),"")</f>
        <v/>
      </c>
    </row>
    <row r="1660" spans="3:12" hidden="1" x14ac:dyDescent="0.35">
      <c r="C1660" s="80"/>
      <c r="K1660" s="81">
        <f>SUM(Table1[[#This Row],[Technical Knowledge]:[Repeat job nahin aana]])/6</f>
        <v>0</v>
      </c>
      <c r="L1660" s="79" t="str">
        <f>IFERROR(AVERAGEIFS(Table1[Final Score],Table1[Month],Table1[[#This Row],[Month]],Table1[Year],Table1[[#This Row],[Year]],Table1[Mechanic Name],Table1[[#This Row],[Mechanic Name]]),"")</f>
        <v/>
      </c>
    </row>
    <row r="1661" spans="3:12" hidden="1" x14ac:dyDescent="0.35">
      <c r="C1661" s="80"/>
      <c r="K1661" s="81">
        <f>SUM(Table1[[#This Row],[Technical Knowledge]:[Repeat job nahin aana]])/6</f>
        <v>0</v>
      </c>
      <c r="L1661" s="79" t="str">
        <f>IFERROR(AVERAGEIFS(Table1[Final Score],Table1[Month],Table1[[#This Row],[Month]],Table1[Year],Table1[[#This Row],[Year]],Table1[Mechanic Name],Table1[[#This Row],[Mechanic Name]]),"")</f>
        <v/>
      </c>
    </row>
    <row r="1662" spans="3:12" hidden="1" x14ac:dyDescent="0.35">
      <c r="C1662" s="80"/>
      <c r="K1662" s="81">
        <f>SUM(Table1[[#This Row],[Technical Knowledge]:[Repeat job nahin aana]])/6</f>
        <v>0</v>
      </c>
      <c r="L1662" s="79" t="str">
        <f>IFERROR(AVERAGEIFS(Table1[Final Score],Table1[Month],Table1[[#This Row],[Month]],Table1[Year],Table1[[#This Row],[Year]],Table1[Mechanic Name],Table1[[#This Row],[Mechanic Name]]),"")</f>
        <v/>
      </c>
    </row>
    <row r="1663" spans="3:12" hidden="1" x14ac:dyDescent="0.35">
      <c r="C1663" s="80"/>
      <c r="K1663" s="81">
        <f>SUM(Table1[[#This Row],[Technical Knowledge]:[Repeat job nahin aana]])/6</f>
        <v>0</v>
      </c>
      <c r="L1663" s="79" t="str">
        <f>IFERROR(AVERAGEIFS(Table1[Final Score],Table1[Month],Table1[[#This Row],[Month]],Table1[Year],Table1[[#This Row],[Year]],Table1[Mechanic Name],Table1[[#This Row],[Mechanic Name]]),"")</f>
        <v/>
      </c>
    </row>
    <row r="1664" spans="3:12" hidden="1" x14ac:dyDescent="0.35">
      <c r="C1664" s="80"/>
      <c r="K1664" s="81">
        <f>SUM(Table1[[#This Row],[Technical Knowledge]:[Repeat job nahin aana]])/6</f>
        <v>0</v>
      </c>
      <c r="L1664" s="79" t="str">
        <f>IFERROR(AVERAGEIFS(Table1[Final Score],Table1[Month],Table1[[#This Row],[Month]],Table1[Year],Table1[[#This Row],[Year]],Table1[Mechanic Name],Table1[[#This Row],[Mechanic Name]]),"")</f>
        <v/>
      </c>
    </row>
    <row r="1665" spans="3:12" hidden="1" x14ac:dyDescent="0.35">
      <c r="C1665" s="80"/>
      <c r="K1665" s="81">
        <f>SUM(Table1[[#This Row],[Technical Knowledge]:[Repeat job nahin aana]])/6</f>
        <v>0</v>
      </c>
      <c r="L1665" s="79" t="str">
        <f>IFERROR(AVERAGEIFS(Table1[Final Score],Table1[Month],Table1[[#This Row],[Month]],Table1[Year],Table1[[#This Row],[Year]],Table1[Mechanic Name],Table1[[#This Row],[Mechanic Name]]),"")</f>
        <v/>
      </c>
    </row>
    <row r="1666" spans="3:12" hidden="1" x14ac:dyDescent="0.35">
      <c r="C1666" s="80"/>
      <c r="K1666" s="81">
        <f>SUM(Table1[[#This Row],[Technical Knowledge]:[Repeat job nahin aana]])/6</f>
        <v>0</v>
      </c>
      <c r="L1666" s="79" t="str">
        <f>IFERROR(AVERAGEIFS(Table1[Final Score],Table1[Month],Table1[[#This Row],[Month]],Table1[Year],Table1[[#This Row],[Year]],Table1[Mechanic Name],Table1[[#This Row],[Mechanic Name]]),"")</f>
        <v/>
      </c>
    </row>
    <row r="1667" spans="3:12" hidden="1" x14ac:dyDescent="0.35">
      <c r="C1667" s="80"/>
      <c r="K1667" s="81">
        <f>SUM(Table1[[#This Row],[Technical Knowledge]:[Repeat job nahin aana]])/6</f>
        <v>0</v>
      </c>
      <c r="L1667" s="79" t="str">
        <f>IFERROR(AVERAGEIFS(Table1[Final Score],Table1[Month],Table1[[#This Row],[Month]],Table1[Year],Table1[[#This Row],[Year]],Table1[Mechanic Name],Table1[[#This Row],[Mechanic Name]]),"")</f>
        <v/>
      </c>
    </row>
    <row r="1668" spans="3:12" hidden="1" x14ac:dyDescent="0.35">
      <c r="C1668" s="80"/>
      <c r="K1668" s="81">
        <f>SUM(Table1[[#This Row],[Technical Knowledge]:[Repeat job nahin aana]])/6</f>
        <v>0</v>
      </c>
      <c r="L1668" s="79" t="str">
        <f>IFERROR(AVERAGEIFS(Table1[Final Score],Table1[Month],Table1[[#This Row],[Month]],Table1[Year],Table1[[#This Row],[Year]],Table1[Mechanic Name],Table1[[#This Row],[Mechanic Name]]),"")</f>
        <v/>
      </c>
    </row>
    <row r="1669" spans="3:12" hidden="1" x14ac:dyDescent="0.35">
      <c r="C1669" s="80"/>
      <c r="K1669" s="81">
        <f>SUM(Table1[[#This Row],[Technical Knowledge]:[Repeat job nahin aana]])/6</f>
        <v>0</v>
      </c>
      <c r="L1669" s="79" t="str">
        <f>IFERROR(AVERAGEIFS(Table1[Final Score],Table1[Month],Table1[[#This Row],[Month]],Table1[Year],Table1[[#This Row],[Year]],Table1[Mechanic Name],Table1[[#This Row],[Mechanic Name]]),"")</f>
        <v/>
      </c>
    </row>
    <row r="1670" spans="3:12" hidden="1" x14ac:dyDescent="0.35">
      <c r="C1670" s="80"/>
      <c r="K1670" s="81">
        <f>SUM(Table1[[#This Row],[Technical Knowledge]:[Repeat job nahin aana]])/6</f>
        <v>0</v>
      </c>
      <c r="L1670" s="79" t="str">
        <f>IFERROR(AVERAGEIFS(Table1[Final Score],Table1[Month],Table1[[#This Row],[Month]],Table1[Year],Table1[[#This Row],[Year]],Table1[Mechanic Name],Table1[[#This Row],[Mechanic Name]]),"")</f>
        <v/>
      </c>
    </row>
    <row r="1671" spans="3:12" hidden="1" x14ac:dyDescent="0.35">
      <c r="C1671" s="80"/>
      <c r="K1671" s="81">
        <f>SUM(Table1[[#This Row],[Technical Knowledge]:[Repeat job nahin aana]])/6</f>
        <v>0</v>
      </c>
      <c r="L1671" s="79" t="str">
        <f>IFERROR(AVERAGEIFS(Table1[Final Score],Table1[Month],Table1[[#This Row],[Month]],Table1[Year],Table1[[#This Row],[Year]],Table1[Mechanic Name],Table1[[#This Row],[Mechanic Name]]),"")</f>
        <v/>
      </c>
    </row>
    <row r="1672" spans="3:12" hidden="1" x14ac:dyDescent="0.35">
      <c r="C1672" s="80"/>
      <c r="K1672" s="81">
        <f>SUM(Table1[[#This Row],[Technical Knowledge]:[Repeat job nahin aana]])/6</f>
        <v>0</v>
      </c>
      <c r="L1672" s="79" t="str">
        <f>IFERROR(AVERAGEIFS(Table1[Final Score],Table1[Month],Table1[[#This Row],[Month]],Table1[Year],Table1[[#This Row],[Year]],Table1[Mechanic Name],Table1[[#This Row],[Mechanic Name]]),"")</f>
        <v/>
      </c>
    </row>
    <row r="1673" spans="3:12" hidden="1" x14ac:dyDescent="0.35">
      <c r="C1673" s="80"/>
      <c r="K1673" s="81">
        <f>SUM(Table1[[#This Row],[Technical Knowledge]:[Repeat job nahin aana]])/6</f>
        <v>0</v>
      </c>
      <c r="L1673" s="79" t="str">
        <f>IFERROR(AVERAGEIFS(Table1[Final Score],Table1[Month],Table1[[#This Row],[Month]],Table1[Year],Table1[[#This Row],[Year]],Table1[Mechanic Name],Table1[[#This Row],[Mechanic Name]]),"")</f>
        <v/>
      </c>
    </row>
    <row r="1674" spans="3:12" hidden="1" x14ac:dyDescent="0.35">
      <c r="C1674" s="80"/>
      <c r="K1674" s="81">
        <f>SUM(Table1[[#This Row],[Technical Knowledge]:[Repeat job nahin aana]])/6</f>
        <v>0</v>
      </c>
      <c r="L1674" s="79" t="str">
        <f>IFERROR(AVERAGEIFS(Table1[Final Score],Table1[Month],Table1[[#This Row],[Month]],Table1[Year],Table1[[#This Row],[Year]],Table1[Mechanic Name],Table1[[#This Row],[Mechanic Name]]),"")</f>
        <v/>
      </c>
    </row>
    <row r="1675" spans="3:12" hidden="1" x14ac:dyDescent="0.35">
      <c r="C1675" s="80"/>
      <c r="K1675" s="81">
        <f>SUM(Table1[[#This Row],[Technical Knowledge]:[Repeat job nahin aana]])/6</f>
        <v>0</v>
      </c>
      <c r="L1675" s="79" t="str">
        <f>IFERROR(AVERAGEIFS(Table1[Final Score],Table1[Month],Table1[[#This Row],[Month]],Table1[Year],Table1[[#This Row],[Year]],Table1[Mechanic Name],Table1[[#This Row],[Mechanic Name]]),"")</f>
        <v/>
      </c>
    </row>
    <row r="1676" spans="3:12" hidden="1" x14ac:dyDescent="0.35">
      <c r="C1676" s="80"/>
      <c r="K1676" s="81">
        <f>SUM(Table1[[#This Row],[Technical Knowledge]:[Repeat job nahin aana]])/6</f>
        <v>0</v>
      </c>
      <c r="L1676" s="79" t="str">
        <f>IFERROR(AVERAGEIFS(Table1[Final Score],Table1[Month],Table1[[#This Row],[Month]],Table1[Year],Table1[[#This Row],[Year]],Table1[Mechanic Name],Table1[[#This Row],[Mechanic Name]]),"")</f>
        <v/>
      </c>
    </row>
    <row r="1677" spans="3:12" hidden="1" x14ac:dyDescent="0.35">
      <c r="C1677" s="80"/>
      <c r="K1677" s="81">
        <f>SUM(Table1[[#This Row],[Technical Knowledge]:[Repeat job nahin aana]])/6</f>
        <v>0</v>
      </c>
      <c r="L1677" s="79" t="str">
        <f>IFERROR(AVERAGEIFS(Table1[Final Score],Table1[Month],Table1[[#This Row],[Month]],Table1[Year],Table1[[#This Row],[Year]],Table1[Mechanic Name],Table1[[#This Row],[Mechanic Name]]),"")</f>
        <v/>
      </c>
    </row>
    <row r="1678" spans="3:12" hidden="1" x14ac:dyDescent="0.35">
      <c r="C1678" s="80"/>
      <c r="K1678" s="81">
        <f>SUM(Table1[[#This Row],[Technical Knowledge]:[Repeat job nahin aana]])/6</f>
        <v>0</v>
      </c>
      <c r="L1678" s="79" t="str">
        <f>IFERROR(AVERAGEIFS(Table1[Final Score],Table1[Month],Table1[[#This Row],[Month]],Table1[Year],Table1[[#This Row],[Year]],Table1[Mechanic Name],Table1[[#This Row],[Mechanic Name]]),"")</f>
        <v/>
      </c>
    </row>
    <row r="1679" spans="3:12" hidden="1" x14ac:dyDescent="0.35">
      <c r="C1679" s="80"/>
      <c r="K1679" s="81">
        <f>SUM(Table1[[#This Row],[Technical Knowledge]:[Repeat job nahin aana]])/6</f>
        <v>0</v>
      </c>
      <c r="L1679" s="79" t="str">
        <f>IFERROR(AVERAGEIFS(Table1[Final Score],Table1[Month],Table1[[#This Row],[Month]],Table1[Year],Table1[[#This Row],[Year]],Table1[Mechanic Name],Table1[[#This Row],[Mechanic Name]]),"")</f>
        <v/>
      </c>
    </row>
    <row r="1680" spans="3:12" hidden="1" x14ac:dyDescent="0.35">
      <c r="C1680" s="80"/>
      <c r="K1680" s="81">
        <f>SUM(Table1[[#This Row],[Technical Knowledge]:[Repeat job nahin aana]])/6</f>
        <v>0</v>
      </c>
      <c r="L1680" s="79" t="str">
        <f>IFERROR(AVERAGEIFS(Table1[Final Score],Table1[Month],Table1[[#This Row],[Month]],Table1[Year],Table1[[#This Row],[Year]],Table1[Mechanic Name],Table1[[#This Row],[Mechanic Name]]),"")</f>
        <v/>
      </c>
    </row>
    <row r="1681" spans="3:12" hidden="1" x14ac:dyDescent="0.35">
      <c r="C1681" s="80"/>
      <c r="K1681" s="81">
        <f>SUM(Table1[[#This Row],[Technical Knowledge]:[Repeat job nahin aana]])/6</f>
        <v>0</v>
      </c>
      <c r="L1681" s="79" t="str">
        <f>IFERROR(AVERAGEIFS(Table1[Final Score],Table1[Month],Table1[[#This Row],[Month]],Table1[Year],Table1[[#This Row],[Year]],Table1[Mechanic Name],Table1[[#This Row],[Mechanic Name]]),"")</f>
        <v/>
      </c>
    </row>
    <row r="1682" spans="3:12" hidden="1" x14ac:dyDescent="0.35">
      <c r="C1682" s="80"/>
      <c r="K1682" s="81">
        <f>SUM(Table1[[#This Row],[Technical Knowledge]:[Repeat job nahin aana]])/6</f>
        <v>0</v>
      </c>
      <c r="L1682" s="79" t="str">
        <f>IFERROR(AVERAGEIFS(Table1[Final Score],Table1[Month],Table1[[#This Row],[Month]],Table1[Year],Table1[[#This Row],[Year]],Table1[Mechanic Name],Table1[[#This Row],[Mechanic Name]]),"")</f>
        <v/>
      </c>
    </row>
    <row r="1683" spans="3:12" hidden="1" x14ac:dyDescent="0.35">
      <c r="C1683" s="80"/>
      <c r="K1683" s="81">
        <f>SUM(Table1[[#This Row],[Technical Knowledge]:[Repeat job nahin aana]])/6</f>
        <v>0</v>
      </c>
      <c r="L1683" s="79" t="str">
        <f>IFERROR(AVERAGEIFS(Table1[Final Score],Table1[Month],Table1[[#This Row],[Month]],Table1[Year],Table1[[#This Row],[Year]],Table1[Mechanic Name],Table1[[#This Row],[Mechanic Name]]),"")</f>
        <v/>
      </c>
    </row>
    <row r="1684" spans="3:12" hidden="1" x14ac:dyDescent="0.35">
      <c r="C1684" s="80"/>
      <c r="K1684" s="81">
        <f>SUM(Table1[[#This Row],[Technical Knowledge]:[Repeat job nahin aana]])/6</f>
        <v>0</v>
      </c>
      <c r="L1684" s="79" t="str">
        <f>IFERROR(AVERAGEIFS(Table1[Final Score],Table1[Month],Table1[[#This Row],[Month]],Table1[Year],Table1[[#This Row],[Year]],Table1[Mechanic Name],Table1[[#This Row],[Mechanic Name]]),"")</f>
        <v/>
      </c>
    </row>
    <row r="1685" spans="3:12" hidden="1" x14ac:dyDescent="0.35">
      <c r="C1685" s="80"/>
      <c r="K1685" s="81">
        <f>SUM(Table1[[#This Row],[Technical Knowledge]:[Repeat job nahin aana]])/6</f>
        <v>0</v>
      </c>
      <c r="L1685" s="79" t="str">
        <f>IFERROR(AVERAGEIFS(Table1[Final Score],Table1[Month],Table1[[#This Row],[Month]],Table1[Year],Table1[[#This Row],[Year]],Table1[Mechanic Name],Table1[[#This Row],[Mechanic Name]]),"")</f>
        <v/>
      </c>
    </row>
    <row r="1686" spans="3:12" hidden="1" x14ac:dyDescent="0.35">
      <c r="C1686" s="80"/>
      <c r="K1686" s="81">
        <f>SUM(Table1[[#This Row],[Technical Knowledge]:[Repeat job nahin aana]])/6</f>
        <v>0</v>
      </c>
      <c r="L1686" s="79" t="str">
        <f>IFERROR(AVERAGEIFS(Table1[Final Score],Table1[Month],Table1[[#This Row],[Month]],Table1[Year],Table1[[#This Row],[Year]],Table1[Mechanic Name],Table1[[#This Row],[Mechanic Name]]),"")</f>
        <v/>
      </c>
    </row>
    <row r="1687" spans="3:12" hidden="1" x14ac:dyDescent="0.35">
      <c r="C1687" s="80"/>
      <c r="K1687" s="81">
        <f>SUM(Table1[[#This Row],[Technical Knowledge]:[Repeat job nahin aana]])/6</f>
        <v>0</v>
      </c>
      <c r="L1687" s="79" t="str">
        <f>IFERROR(AVERAGEIFS(Table1[Final Score],Table1[Month],Table1[[#This Row],[Month]],Table1[Year],Table1[[#This Row],[Year]],Table1[Mechanic Name],Table1[[#This Row],[Mechanic Name]]),"")</f>
        <v/>
      </c>
    </row>
    <row r="1688" spans="3:12" hidden="1" x14ac:dyDescent="0.35">
      <c r="C1688" s="80"/>
      <c r="K1688" s="81">
        <f>SUM(Table1[[#This Row],[Technical Knowledge]:[Repeat job nahin aana]])/6</f>
        <v>0</v>
      </c>
      <c r="L1688" s="79" t="str">
        <f>IFERROR(AVERAGEIFS(Table1[Final Score],Table1[Month],Table1[[#This Row],[Month]],Table1[Year],Table1[[#This Row],[Year]],Table1[Mechanic Name],Table1[[#This Row],[Mechanic Name]]),"")</f>
        <v/>
      </c>
    </row>
    <row r="1689" spans="3:12" hidden="1" x14ac:dyDescent="0.35">
      <c r="C1689" s="80"/>
      <c r="K1689" s="81">
        <f>SUM(Table1[[#This Row],[Technical Knowledge]:[Repeat job nahin aana]])/6</f>
        <v>0</v>
      </c>
      <c r="L1689" s="79" t="str">
        <f>IFERROR(AVERAGEIFS(Table1[Final Score],Table1[Month],Table1[[#This Row],[Month]],Table1[Year],Table1[[#This Row],[Year]],Table1[Mechanic Name],Table1[[#This Row],[Mechanic Name]]),"")</f>
        <v/>
      </c>
    </row>
    <row r="1690" spans="3:12" hidden="1" x14ac:dyDescent="0.35">
      <c r="C1690" s="80"/>
      <c r="K1690" s="81">
        <f>SUM(Table1[[#This Row],[Technical Knowledge]:[Repeat job nahin aana]])/6</f>
        <v>0</v>
      </c>
      <c r="L1690" s="79" t="str">
        <f>IFERROR(AVERAGEIFS(Table1[Final Score],Table1[Month],Table1[[#This Row],[Month]],Table1[Year],Table1[[#This Row],[Year]],Table1[Mechanic Name],Table1[[#This Row],[Mechanic Name]]),"")</f>
        <v/>
      </c>
    </row>
    <row r="1691" spans="3:12" hidden="1" x14ac:dyDescent="0.35">
      <c r="C1691" s="80"/>
      <c r="K1691" s="81">
        <f>SUM(Table1[[#This Row],[Technical Knowledge]:[Repeat job nahin aana]])/6</f>
        <v>0</v>
      </c>
      <c r="L1691" s="79" t="str">
        <f>IFERROR(AVERAGEIFS(Table1[Final Score],Table1[Month],Table1[[#This Row],[Month]],Table1[Year],Table1[[#This Row],[Year]],Table1[Mechanic Name],Table1[[#This Row],[Mechanic Name]]),"")</f>
        <v/>
      </c>
    </row>
    <row r="1692" spans="3:12" hidden="1" x14ac:dyDescent="0.35">
      <c r="C1692" s="80"/>
      <c r="K1692" s="81">
        <f>SUM(Table1[[#This Row],[Technical Knowledge]:[Repeat job nahin aana]])/6</f>
        <v>0</v>
      </c>
      <c r="L1692" s="79" t="str">
        <f>IFERROR(AVERAGEIFS(Table1[Final Score],Table1[Month],Table1[[#This Row],[Month]],Table1[Year],Table1[[#This Row],[Year]],Table1[Mechanic Name],Table1[[#This Row],[Mechanic Name]]),"")</f>
        <v/>
      </c>
    </row>
    <row r="1693" spans="3:12" hidden="1" x14ac:dyDescent="0.35">
      <c r="C1693" s="80"/>
      <c r="K1693" s="81">
        <f>SUM(Table1[[#This Row],[Technical Knowledge]:[Repeat job nahin aana]])/6</f>
        <v>0</v>
      </c>
      <c r="L1693" s="79" t="str">
        <f>IFERROR(AVERAGEIFS(Table1[Final Score],Table1[Month],Table1[[#This Row],[Month]],Table1[Year],Table1[[#This Row],[Year]],Table1[Mechanic Name],Table1[[#This Row],[Mechanic Name]]),"")</f>
        <v/>
      </c>
    </row>
    <row r="1694" spans="3:12" hidden="1" x14ac:dyDescent="0.35">
      <c r="C1694" s="80"/>
      <c r="K1694" s="81">
        <f>SUM(Table1[[#This Row],[Technical Knowledge]:[Repeat job nahin aana]])/6</f>
        <v>0</v>
      </c>
      <c r="L1694" s="79" t="str">
        <f>IFERROR(AVERAGEIFS(Table1[Final Score],Table1[Month],Table1[[#This Row],[Month]],Table1[Year],Table1[[#This Row],[Year]],Table1[Mechanic Name],Table1[[#This Row],[Mechanic Name]]),"")</f>
        <v/>
      </c>
    </row>
    <row r="1695" spans="3:12" hidden="1" x14ac:dyDescent="0.35">
      <c r="C1695" s="80"/>
      <c r="K1695" s="81">
        <f>SUM(Table1[[#This Row],[Technical Knowledge]:[Repeat job nahin aana]])/6</f>
        <v>0</v>
      </c>
      <c r="L1695" s="79" t="str">
        <f>IFERROR(AVERAGEIFS(Table1[Final Score],Table1[Month],Table1[[#This Row],[Month]],Table1[Year],Table1[[#This Row],[Year]],Table1[Mechanic Name],Table1[[#This Row],[Mechanic Name]]),"")</f>
        <v/>
      </c>
    </row>
    <row r="1696" spans="3:12" hidden="1" x14ac:dyDescent="0.35">
      <c r="C1696" s="80"/>
      <c r="K1696" s="81">
        <f>SUM(Table1[[#This Row],[Technical Knowledge]:[Repeat job nahin aana]])/6</f>
        <v>0</v>
      </c>
      <c r="L1696" s="79" t="str">
        <f>IFERROR(AVERAGEIFS(Table1[Final Score],Table1[Month],Table1[[#This Row],[Month]],Table1[Year],Table1[[#This Row],[Year]],Table1[Mechanic Name],Table1[[#This Row],[Mechanic Name]]),"")</f>
        <v/>
      </c>
    </row>
    <row r="1697" spans="3:12" hidden="1" x14ac:dyDescent="0.35">
      <c r="C1697" s="80"/>
      <c r="K1697" s="81">
        <f>SUM(Table1[[#This Row],[Technical Knowledge]:[Repeat job nahin aana]])/6</f>
        <v>0</v>
      </c>
      <c r="L1697" s="79" t="str">
        <f>IFERROR(AVERAGEIFS(Table1[Final Score],Table1[Month],Table1[[#This Row],[Month]],Table1[Year],Table1[[#This Row],[Year]],Table1[Mechanic Name],Table1[[#This Row],[Mechanic Name]]),"")</f>
        <v/>
      </c>
    </row>
    <row r="1698" spans="3:12" hidden="1" x14ac:dyDescent="0.35">
      <c r="C1698" s="80"/>
      <c r="K1698" s="81">
        <f>SUM(Table1[[#This Row],[Technical Knowledge]:[Repeat job nahin aana]])/6</f>
        <v>0</v>
      </c>
      <c r="L1698" s="79" t="str">
        <f>IFERROR(AVERAGEIFS(Table1[Final Score],Table1[Month],Table1[[#This Row],[Month]],Table1[Year],Table1[[#This Row],[Year]],Table1[Mechanic Name],Table1[[#This Row],[Mechanic Name]]),"")</f>
        <v/>
      </c>
    </row>
    <row r="1699" spans="3:12" hidden="1" x14ac:dyDescent="0.35">
      <c r="C1699" s="80"/>
      <c r="K1699" s="81">
        <f>SUM(Table1[[#This Row],[Technical Knowledge]:[Repeat job nahin aana]])/6</f>
        <v>0</v>
      </c>
      <c r="L1699" s="79" t="str">
        <f>IFERROR(AVERAGEIFS(Table1[Final Score],Table1[Month],Table1[[#This Row],[Month]],Table1[Year],Table1[[#This Row],[Year]],Table1[Mechanic Name],Table1[[#This Row],[Mechanic Name]]),"")</f>
        <v/>
      </c>
    </row>
    <row r="1700" spans="3:12" hidden="1" x14ac:dyDescent="0.35">
      <c r="C1700" s="80"/>
      <c r="K1700" s="81">
        <f>SUM(Table1[[#This Row],[Technical Knowledge]:[Repeat job nahin aana]])/6</f>
        <v>0</v>
      </c>
      <c r="L1700" s="79" t="str">
        <f>IFERROR(AVERAGEIFS(Table1[Final Score],Table1[Month],Table1[[#This Row],[Month]],Table1[Year],Table1[[#This Row],[Year]],Table1[Mechanic Name],Table1[[#This Row],[Mechanic Name]]),"")</f>
        <v/>
      </c>
    </row>
    <row r="1701" spans="3:12" hidden="1" x14ac:dyDescent="0.35">
      <c r="C1701" s="80"/>
      <c r="K1701" s="81">
        <f>SUM(Table1[[#This Row],[Technical Knowledge]:[Repeat job nahin aana]])/6</f>
        <v>0</v>
      </c>
      <c r="L1701" s="79" t="str">
        <f>IFERROR(AVERAGEIFS(Table1[Final Score],Table1[Month],Table1[[#This Row],[Month]],Table1[Year],Table1[[#This Row],[Year]],Table1[Mechanic Name],Table1[[#This Row],[Mechanic Name]]),"")</f>
        <v/>
      </c>
    </row>
    <row r="1702" spans="3:12" hidden="1" x14ac:dyDescent="0.35">
      <c r="C1702" s="80"/>
      <c r="K1702" s="81">
        <f>SUM(Table1[[#This Row],[Technical Knowledge]:[Repeat job nahin aana]])/6</f>
        <v>0</v>
      </c>
      <c r="L1702" s="79" t="str">
        <f>IFERROR(AVERAGEIFS(Table1[Final Score],Table1[Month],Table1[[#This Row],[Month]],Table1[Year],Table1[[#This Row],[Year]],Table1[Mechanic Name],Table1[[#This Row],[Mechanic Name]]),"")</f>
        <v/>
      </c>
    </row>
    <row r="1703" spans="3:12" hidden="1" x14ac:dyDescent="0.35">
      <c r="C1703" s="80"/>
      <c r="K1703" s="81">
        <f>SUM(Table1[[#This Row],[Technical Knowledge]:[Repeat job nahin aana]])/6</f>
        <v>0</v>
      </c>
      <c r="L1703" s="79" t="str">
        <f>IFERROR(AVERAGEIFS(Table1[Final Score],Table1[Month],Table1[[#This Row],[Month]],Table1[Year],Table1[[#This Row],[Year]],Table1[Mechanic Name],Table1[[#This Row],[Mechanic Name]]),"")</f>
        <v/>
      </c>
    </row>
    <row r="1704" spans="3:12" hidden="1" x14ac:dyDescent="0.35">
      <c r="C1704" s="80"/>
      <c r="K1704" s="81">
        <f>SUM(Table1[[#This Row],[Technical Knowledge]:[Repeat job nahin aana]])/6</f>
        <v>0</v>
      </c>
      <c r="L1704" s="79" t="str">
        <f>IFERROR(AVERAGEIFS(Table1[Final Score],Table1[Month],Table1[[#This Row],[Month]],Table1[Year],Table1[[#This Row],[Year]],Table1[Mechanic Name],Table1[[#This Row],[Mechanic Name]]),"")</f>
        <v/>
      </c>
    </row>
    <row r="1705" spans="3:12" hidden="1" x14ac:dyDescent="0.35">
      <c r="C1705" s="80"/>
      <c r="K1705" s="81">
        <f>SUM(Table1[[#This Row],[Technical Knowledge]:[Repeat job nahin aana]])/6</f>
        <v>0</v>
      </c>
      <c r="L1705" s="79" t="str">
        <f>IFERROR(AVERAGEIFS(Table1[Final Score],Table1[Month],Table1[[#This Row],[Month]],Table1[Year],Table1[[#This Row],[Year]],Table1[Mechanic Name],Table1[[#This Row],[Mechanic Name]]),"")</f>
        <v/>
      </c>
    </row>
    <row r="1706" spans="3:12" hidden="1" x14ac:dyDescent="0.35">
      <c r="C1706" s="80"/>
      <c r="K1706" s="81">
        <f>SUM(Table1[[#This Row],[Technical Knowledge]:[Repeat job nahin aana]])/6</f>
        <v>0</v>
      </c>
      <c r="L1706" s="79" t="str">
        <f>IFERROR(AVERAGEIFS(Table1[Final Score],Table1[Month],Table1[[#This Row],[Month]],Table1[Year],Table1[[#This Row],[Year]],Table1[Mechanic Name],Table1[[#This Row],[Mechanic Name]]),"")</f>
        <v/>
      </c>
    </row>
    <row r="1707" spans="3:12" hidden="1" x14ac:dyDescent="0.35">
      <c r="C1707" s="80"/>
      <c r="K1707" s="81">
        <f>SUM(Table1[[#This Row],[Technical Knowledge]:[Repeat job nahin aana]])/6</f>
        <v>0</v>
      </c>
      <c r="L1707" s="79" t="str">
        <f>IFERROR(AVERAGEIFS(Table1[Final Score],Table1[Month],Table1[[#This Row],[Month]],Table1[Year],Table1[[#This Row],[Year]],Table1[Mechanic Name],Table1[[#This Row],[Mechanic Name]]),"")</f>
        <v/>
      </c>
    </row>
    <row r="1708" spans="3:12" hidden="1" x14ac:dyDescent="0.35">
      <c r="C1708" s="80"/>
      <c r="K1708" s="81">
        <f>SUM(Table1[[#This Row],[Technical Knowledge]:[Repeat job nahin aana]])/6</f>
        <v>0</v>
      </c>
      <c r="L1708" s="79" t="str">
        <f>IFERROR(AVERAGEIFS(Table1[Final Score],Table1[Month],Table1[[#This Row],[Month]],Table1[Year],Table1[[#This Row],[Year]],Table1[Mechanic Name],Table1[[#This Row],[Mechanic Name]]),"")</f>
        <v/>
      </c>
    </row>
    <row r="1709" spans="3:12" hidden="1" x14ac:dyDescent="0.35">
      <c r="C1709" s="80"/>
      <c r="K1709" s="81">
        <f>SUM(Table1[[#This Row],[Technical Knowledge]:[Repeat job nahin aana]])/6</f>
        <v>0</v>
      </c>
      <c r="L1709" s="79" t="str">
        <f>IFERROR(AVERAGEIFS(Table1[Final Score],Table1[Month],Table1[[#This Row],[Month]],Table1[Year],Table1[[#This Row],[Year]],Table1[Mechanic Name],Table1[[#This Row],[Mechanic Name]]),"")</f>
        <v/>
      </c>
    </row>
    <row r="1710" spans="3:12" hidden="1" x14ac:dyDescent="0.35">
      <c r="C1710" s="80"/>
      <c r="K1710" s="81">
        <f>SUM(Table1[[#This Row],[Technical Knowledge]:[Repeat job nahin aana]])/6</f>
        <v>0</v>
      </c>
      <c r="L1710" s="79" t="str">
        <f>IFERROR(AVERAGEIFS(Table1[Final Score],Table1[Month],Table1[[#This Row],[Month]],Table1[Year],Table1[[#This Row],[Year]],Table1[Mechanic Name],Table1[[#This Row],[Mechanic Name]]),"")</f>
        <v/>
      </c>
    </row>
    <row r="1711" spans="3:12" hidden="1" x14ac:dyDescent="0.35">
      <c r="C1711" s="80"/>
      <c r="K1711" s="81">
        <f>SUM(Table1[[#This Row],[Technical Knowledge]:[Repeat job nahin aana]])/6</f>
        <v>0</v>
      </c>
      <c r="L1711" s="79" t="str">
        <f>IFERROR(AVERAGEIFS(Table1[Final Score],Table1[Month],Table1[[#This Row],[Month]],Table1[Year],Table1[[#This Row],[Year]],Table1[Mechanic Name],Table1[[#This Row],[Mechanic Name]]),"")</f>
        <v/>
      </c>
    </row>
    <row r="1712" spans="3:12" hidden="1" x14ac:dyDescent="0.35">
      <c r="C1712" s="80"/>
      <c r="K1712" s="81">
        <f>SUM(Table1[[#This Row],[Technical Knowledge]:[Repeat job nahin aana]])/6</f>
        <v>0</v>
      </c>
      <c r="L1712" s="79" t="str">
        <f>IFERROR(AVERAGEIFS(Table1[Final Score],Table1[Month],Table1[[#This Row],[Month]],Table1[Year],Table1[[#This Row],[Year]],Table1[Mechanic Name],Table1[[#This Row],[Mechanic Name]]),"")</f>
        <v/>
      </c>
    </row>
    <row r="1713" spans="3:12" hidden="1" x14ac:dyDescent="0.35">
      <c r="C1713" s="80"/>
      <c r="K1713" s="81">
        <f>SUM(Table1[[#This Row],[Technical Knowledge]:[Repeat job nahin aana]])/6</f>
        <v>0</v>
      </c>
      <c r="L1713" s="79" t="str">
        <f>IFERROR(AVERAGEIFS(Table1[Final Score],Table1[Month],Table1[[#This Row],[Month]],Table1[Year],Table1[[#This Row],[Year]],Table1[Mechanic Name],Table1[[#This Row],[Mechanic Name]]),"")</f>
        <v/>
      </c>
    </row>
    <row r="1714" spans="3:12" hidden="1" x14ac:dyDescent="0.35">
      <c r="C1714" s="80"/>
      <c r="K1714" s="81">
        <f>SUM(Table1[[#This Row],[Technical Knowledge]:[Repeat job nahin aana]])/6</f>
        <v>0</v>
      </c>
      <c r="L1714" s="79" t="str">
        <f>IFERROR(AVERAGEIFS(Table1[Final Score],Table1[Month],Table1[[#This Row],[Month]],Table1[Year],Table1[[#This Row],[Year]],Table1[Mechanic Name],Table1[[#This Row],[Mechanic Name]]),"")</f>
        <v/>
      </c>
    </row>
    <row r="1715" spans="3:12" hidden="1" x14ac:dyDescent="0.35">
      <c r="C1715" s="80"/>
      <c r="K1715" s="81">
        <f>SUM(Table1[[#This Row],[Technical Knowledge]:[Repeat job nahin aana]])/6</f>
        <v>0</v>
      </c>
      <c r="L1715" s="79" t="str">
        <f>IFERROR(AVERAGEIFS(Table1[Final Score],Table1[Month],Table1[[#This Row],[Month]],Table1[Year],Table1[[#This Row],[Year]],Table1[Mechanic Name],Table1[[#This Row],[Mechanic Name]]),"")</f>
        <v/>
      </c>
    </row>
    <row r="1716" spans="3:12" hidden="1" x14ac:dyDescent="0.35">
      <c r="C1716" s="80"/>
      <c r="K1716" s="81">
        <f>SUM(Table1[[#This Row],[Technical Knowledge]:[Repeat job nahin aana]])/6</f>
        <v>0</v>
      </c>
      <c r="L1716" s="79" t="str">
        <f>IFERROR(AVERAGEIFS(Table1[Final Score],Table1[Month],Table1[[#This Row],[Month]],Table1[Year],Table1[[#This Row],[Year]],Table1[Mechanic Name],Table1[[#This Row],[Mechanic Name]]),"")</f>
        <v/>
      </c>
    </row>
    <row r="1717" spans="3:12" hidden="1" x14ac:dyDescent="0.35">
      <c r="C1717" s="80"/>
      <c r="K1717" s="81">
        <f>SUM(Table1[[#This Row],[Technical Knowledge]:[Repeat job nahin aana]])/6</f>
        <v>0</v>
      </c>
      <c r="L1717" s="79" t="str">
        <f>IFERROR(AVERAGEIFS(Table1[Final Score],Table1[Month],Table1[[#This Row],[Month]],Table1[Year],Table1[[#This Row],[Year]],Table1[Mechanic Name],Table1[[#This Row],[Mechanic Name]]),"")</f>
        <v/>
      </c>
    </row>
    <row r="1718" spans="3:12" hidden="1" x14ac:dyDescent="0.35">
      <c r="C1718" s="80"/>
      <c r="K1718" s="81">
        <f>SUM(Table1[[#This Row],[Technical Knowledge]:[Repeat job nahin aana]])/6</f>
        <v>0</v>
      </c>
      <c r="L1718" s="79" t="str">
        <f>IFERROR(AVERAGEIFS(Table1[Final Score],Table1[Month],Table1[[#This Row],[Month]],Table1[Year],Table1[[#This Row],[Year]],Table1[Mechanic Name],Table1[[#This Row],[Mechanic Name]]),"")</f>
        <v/>
      </c>
    </row>
    <row r="1719" spans="3:12" hidden="1" x14ac:dyDescent="0.35">
      <c r="C1719" s="80"/>
      <c r="K1719" s="81">
        <f>SUM(Table1[[#This Row],[Technical Knowledge]:[Repeat job nahin aana]])/6</f>
        <v>0</v>
      </c>
      <c r="L1719" s="79" t="str">
        <f>IFERROR(AVERAGEIFS(Table1[Final Score],Table1[Month],Table1[[#This Row],[Month]],Table1[Year],Table1[[#This Row],[Year]],Table1[Mechanic Name],Table1[[#This Row],[Mechanic Name]]),"")</f>
        <v/>
      </c>
    </row>
    <row r="1720" spans="3:12" hidden="1" x14ac:dyDescent="0.35">
      <c r="C1720" s="80"/>
      <c r="K1720" s="81">
        <f>SUM(Table1[[#This Row],[Technical Knowledge]:[Repeat job nahin aana]])/6</f>
        <v>0</v>
      </c>
      <c r="L1720" s="79" t="str">
        <f>IFERROR(AVERAGEIFS(Table1[Final Score],Table1[Month],Table1[[#This Row],[Month]],Table1[Year],Table1[[#This Row],[Year]],Table1[Mechanic Name],Table1[[#This Row],[Mechanic Name]]),"")</f>
        <v/>
      </c>
    </row>
    <row r="1721" spans="3:12" hidden="1" x14ac:dyDescent="0.35">
      <c r="C1721" s="80"/>
      <c r="K1721" s="81">
        <f>SUM(Table1[[#This Row],[Technical Knowledge]:[Repeat job nahin aana]])/6</f>
        <v>0</v>
      </c>
      <c r="L1721" s="79" t="str">
        <f>IFERROR(AVERAGEIFS(Table1[Final Score],Table1[Month],Table1[[#This Row],[Month]],Table1[Year],Table1[[#This Row],[Year]],Table1[Mechanic Name],Table1[[#This Row],[Mechanic Name]]),"")</f>
        <v/>
      </c>
    </row>
    <row r="1722" spans="3:12" hidden="1" x14ac:dyDescent="0.35">
      <c r="C1722" s="80"/>
      <c r="K1722" s="81">
        <f>SUM(Table1[[#This Row],[Technical Knowledge]:[Repeat job nahin aana]])/6</f>
        <v>0</v>
      </c>
      <c r="L1722" s="79" t="str">
        <f>IFERROR(AVERAGEIFS(Table1[Final Score],Table1[Month],Table1[[#This Row],[Month]],Table1[Year],Table1[[#This Row],[Year]],Table1[Mechanic Name],Table1[[#This Row],[Mechanic Name]]),"")</f>
        <v/>
      </c>
    </row>
    <row r="1723" spans="3:12" hidden="1" x14ac:dyDescent="0.35">
      <c r="C1723" s="80"/>
      <c r="K1723" s="81">
        <f>SUM(Table1[[#This Row],[Technical Knowledge]:[Repeat job nahin aana]])/6</f>
        <v>0</v>
      </c>
      <c r="L1723" s="79" t="str">
        <f>IFERROR(AVERAGEIFS(Table1[Final Score],Table1[Month],Table1[[#This Row],[Month]],Table1[Year],Table1[[#This Row],[Year]],Table1[Mechanic Name],Table1[[#This Row],[Mechanic Name]]),"")</f>
        <v/>
      </c>
    </row>
    <row r="1724" spans="3:12" hidden="1" x14ac:dyDescent="0.35">
      <c r="C1724" s="80"/>
      <c r="K1724" s="81">
        <f>SUM(Table1[[#This Row],[Technical Knowledge]:[Repeat job nahin aana]])/6</f>
        <v>0</v>
      </c>
      <c r="L1724" s="79" t="str">
        <f>IFERROR(AVERAGEIFS(Table1[Final Score],Table1[Month],Table1[[#This Row],[Month]],Table1[Year],Table1[[#This Row],[Year]],Table1[Mechanic Name],Table1[[#This Row],[Mechanic Name]]),"")</f>
        <v/>
      </c>
    </row>
    <row r="1725" spans="3:12" hidden="1" x14ac:dyDescent="0.35">
      <c r="C1725" s="80"/>
      <c r="K1725" s="81">
        <f>SUM(Table1[[#This Row],[Technical Knowledge]:[Repeat job nahin aana]])/6</f>
        <v>0</v>
      </c>
      <c r="L1725" s="79" t="str">
        <f>IFERROR(AVERAGEIFS(Table1[Final Score],Table1[Month],Table1[[#This Row],[Month]],Table1[Year],Table1[[#This Row],[Year]],Table1[Mechanic Name],Table1[[#This Row],[Mechanic Name]]),"")</f>
        <v/>
      </c>
    </row>
    <row r="1726" spans="3:12" hidden="1" x14ac:dyDescent="0.35">
      <c r="C1726" s="80"/>
      <c r="K1726" s="81">
        <f>SUM(Table1[[#This Row],[Technical Knowledge]:[Repeat job nahin aana]])/6</f>
        <v>0</v>
      </c>
      <c r="L1726" s="79" t="str">
        <f>IFERROR(AVERAGEIFS(Table1[Final Score],Table1[Month],Table1[[#This Row],[Month]],Table1[Year],Table1[[#This Row],[Year]],Table1[Mechanic Name],Table1[[#This Row],[Mechanic Name]]),"")</f>
        <v/>
      </c>
    </row>
    <row r="1727" spans="3:12" hidden="1" x14ac:dyDescent="0.35">
      <c r="C1727" s="80"/>
      <c r="K1727" s="81">
        <f>SUM(Table1[[#This Row],[Technical Knowledge]:[Repeat job nahin aana]])/6</f>
        <v>0</v>
      </c>
      <c r="L1727" s="79" t="str">
        <f>IFERROR(AVERAGEIFS(Table1[Final Score],Table1[Month],Table1[[#This Row],[Month]],Table1[Year],Table1[[#This Row],[Year]],Table1[Mechanic Name],Table1[[#This Row],[Mechanic Name]]),"")</f>
        <v/>
      </c>
    </row>
    <row r="1728" spans="3:12" hidden="1" x14ac:dyDescent="0.35">
      <c r="C1728" s="80"/>
      <c r="K1728" s="81">
        <f>SUM(Table1[[#This Row],[Technical Knowledge]:[Repeat job nahin aana]])/6</f>
        <v>0</v>
      </c>
      <c r="L1728" s="79" t="str">
        <f>IFERROR(AVERAGEIFS(Table1[Final Score],Table1[Month],Table1[[#This Row],[Month]],Table1[Year],Table1[[#This Row],[Year]],Table1[Mechanic Name],Table1[[#This Row],[Mechanic Name]]),"")</f>
        <v/>
      </c>
    </row>
    <row r="1729" spans="3:12" hidden="1" x14ac:dyDescent="0.35">
      <c r="C1729" s="80"/>
      <c r="K1729" s="81">
        <f>SUM(Table1[[#This Row],[Technical Knowledge]:[Repeat job nahin aana]])/6</f>
        <v>0</v>
      </c>
      <c r="L1729" s="79" t="str">
        <f>IFERROR(AVERAGEIFS(Table1[Final Score],Table1[Month],Table1[[#This Row],[Month]],Table1[Year],Table1[[#This Row],[Year]],Table1[Mechanic Name],Table1[[#This Row],[Mechanic Name]]),"")</f>
        <v/>
      </c>
    </row>
    <row r="1730" spans="3:12" hidden="1" x14ac:dyDescent="0.35">
      <c r="C1730" s="80"/>
      <c r="K1730" s="81">
        <f>SUM(Table1[[#This Row],[Technical Knowledge]:[Repeat job nahin aana]])/6</f>
        <v>0</v>
      </c>
      <c r="L1730" s="79" t="str">
        <f>IFERROR(AVERAGEIFS(Table1[Final Score],Table1[Month],Table1[[#This Row],[Month]],Table1[Year],Table1[[#This Row],[Year]],Table1[Mechanic Name],Table1[[#This Row],[Mechanic Name]]),"")</f>
        <v/>
      </c>
    </row>
    <row r="1731" spans="3:12" hidden="1" x14ac:dyDescent="0.35">
      <c r="C1731" s="80"/>
      <c r="K1731" s="81">
        <f>SUM(Table1[[#This Row],[Technical Knowledge]:[Repeat job nahin aana]])/6</f>
        <v>0</v>
      </c>
      <c r="L1731" s="79" t="str">
        <f>IFERROR(AVERAGEIFS(Table1[Final Score],Table1[Month],Table1[[#This Row],[Month]],Table1[Year],Table1[[#This Row],[Year]],Table1[Mechanic Name],Table1[[#This Row],[Mechanic Name]]),"")</f>
        <v/>
      </c>
    </row>
    <row r="1732" spans="3:12" hidden="1" x14ac:dyDescent="0.35">
      <c r="C1732" s="80"/>
      <c r="K1732" s="81">
        <f>SUM(Table1[[#This Row],[Technical Knowledge]:[Repeat job nahin aana]])/6</f>
        <v>0</v>
      </c>
      <c r="L1732" s="79" t="str">
        <f>IFERROR(AVERAGEIFS(Table1[Final Score],Table1[Month],Table1[[#This Row],[Month]],Table1[Year],Table1[[#This Row],[Year]],Table1[Mechanic Name],Table1[[#This Row],[Mechanic Name]]),"")</f>
        <v/>
      </c>
    </row>
    <row r="1733" spans="3:12" hidden="1" x14ac:dyDescent="0.35">
      <c r="C1733" s="80"/>
      <c r="K1733" s="81">
        <f>SUM(Table1[[#This Row],[Technical Knowledge]:[Repeat job nahin aana]])/6</f>
        <v>0</v>
      </c>
      <c r="L1733" s="79" t="str">
        <f>IFERROR(AVERAGEIFS(Table1[Final Score],Table1[Month],Table1[[#This Row],[Month]],Table1[Year],Table1[[#This Row],[Year]],Table1[Mechanic Name],Table1[[#This Row],[Mechanic Name]]),"")</f>
        <v/>
      </c>
    </row>
    <row r="1734" spans="3:12" hidden="1" x14ac:dyDescent="0.35">
      <c r="C1734" s="80"/>
      <c r="K1734" s="81">
        <f>SUM(Table1[[#This Row],[Technical Knowledge]:[Repeat job nahin aana]])/6</f>
        <v>0</v>
      </c>
      <c r="L1734" s="79" t="str">
        <f>IFERROR(AVERAGEIFS(Table1[Final Score],Table1[Month],Table1[[#This Row],[Month]],Table1[Year],Table1[[#This Row],[Year]],Table1[Mechanic Name],Table1[[#This Row],[Mechanic Name]]),"")</f>
        <v/>
      </c>
    </row>
    <row r="1735" spans="3:12" hidden="1" x14ac:dyDescent="0.35">
      <c r="C1735" s="80"/>
      <c r="K1735" s="81">
        <f>SUM(Table1[[#This Row],[Technical Knowledge]:[Repeat job nahin aana]])/6</f>
        <v>0</v>
      </c>
      <c r="L1735" s="79" t="str">
        <f>IFERROR(AVERAGEIFS(Table1[Final Score],Table1[Month],Table1[[#This Row],[Month]],Table1[Year],Table1[[#This Row],[Year]],Table1[Mechanic Name],Table1[[#This Row],[Mechanic Name]]),"")</f>
        <v/>
      </c>
    </row>
    <row r="1736" spans="3:12" hidden="1" x14ac:dyDescent="0.35">
      <c r="C1736" s="80"/>
      <c r="K1736" s="81">
        <f>SUM(Table1[[#This Row],[Technical Knowledge]:[Repeat job nahin aana]])/6</f>
        <v>0</v>
      </c>
      <c r="L1736" s="79" t="str">
        <f>IFERROR(AVERAGEIFS(Table1[Final Score],Table1[Month],Table1[[#This Row],[Month]],Table1[Year],Table1[[#This Row],[Year]],Table1[Mechanic Name],Table1[[#This Row],[Mechanic Name]]),"")</f>
        <v/>
      </c>
    </row>
    <row r="1737" spans="3:12" hidden="1" x14ac:dyDescent="0.35">
      <c r="C1737" s="80"/>
      <c r="K1737" s="81">
        <f>SUM(Table1[[#This Row],[Technical Knowledge]:[Repeat job nahin aana]])/6</f>
        <v>0</v>
      </c>
      <c r="L1737" s="79" t="str">
        <f>IFERROR(AVERAGEIFS(Table1[Final Score],Table1[Month],Table1[[#This Row],[Month]],Table1[Year],Table1[[#This Row],[Year]],Table1[Mechanic Name],Table1[[#This Row],[Mechanic Name]]),"")</f>
        <v/>
      </c>
    </row>
    <row r="1738" spans="3:12" hidden="1" x14ac:dyDescent="0.35">
      <c r="C1738" s="80"/>
      <c r="K1738" s="81">
        <f>SUM(Table1[[#This Row],[Technical Knowledge]:[Repeat job nahin aana]])/6</f>
        <v>0</v>
      </c>
      <c r="L1738" s="79" t="str">
        <f>IFERROR(AVERAGEIFS(Table1[Final Score],Table1[Month],Table1[[#This Row],[Month]],Table1[Year],Table1[[#This Row],[Year]],Table1[Mechanic Name],Table1[[#This Row],[Mechanic Name]]),"")</f>
        <v/>
      </c>
    </row>
    <row r="1739" spans="3:12" hidden="1" x14ac:dyDescent="0.35">
      <c r="C1739" s="80"/>
      <c r="K1739" s="81">
        <f>SUM(Table1[[#This Row],[Technical Knowledge]:[Repeat job nahin aana]])/6</f>
        <v>0</v>
      </c>
      <c r="L1739" s="79" t="str">
        <f>IFERROR(AVERAGEIFS(Table1[Final Score],Table1[Month],Table1[[#This Row],[Month]],Table1[Year],Table1[[#This Row],[Year]],Table1[Mechanic Name],Table1[[#This Row],[Mechanic Name]]),"")</f>
        <v/>
      </c>
    </row>
    <row r="1740" spans="3:12" hidden="1" x14ac:dyDescent="0.35">
      <c r="C1740" s="80"/>
      <c r="K1740" s="81">
        <f>SUM(Table1[[#This Row],[Technical Knowledge]:[Repeat job nahin aana]])/6</f>
        <v>0</v>
      </c>
      <c r="L1740" s="79" t="str">
        <f>IFERROR(AVERAGEIFS(Table1[Final Score],Table1[Month],Table1[[#This Row],[Month]],Table1[Year],Table1[[#This Row],[Year]],Table1[Mechanic Name],Table1[[#This Row],[Mechanic Name]]),"")</f>
        <v/>
      </c>
    </row>
    <row r="1741" spans="3:12" hidden="1" x14ac:dyDescent="0.35">
      <c r="C1741" s="80"/>
      <c r="K1741" s="81">
        <f>SUM(Table1[[#This Row],[Technical Knowledge]:[Repeat job nahin aana]])/6</f>
        <v>0</v>
      </c>
      <c r="L1741" s="79" t="str">
        <f>IFERROR(AVERAGEIFS(Table1[Final Score],Table1[Month],Table1[[#This Row],[Month]],Table1[Year],Table1[[#This Row],[Year]],Table1[Mechanic Name],Table1[[#This Row],[Mechanic Name]]),"")</f>
        <v/>
      </c>
    </row>
    <row r="1742" spans="3:12" hidden="1" x14ac:dyDescent="0.35">
      <c r="C1742" s="80"/>
      <c r="K1742" s="81">
        <f>SUM(Table1[[#This Row],[Technical Knowledge]:[Repeat job nahin aana]])/6</f>
        <v>0</v>
      </c>
      <c r="L1742" s="79" t="str">
        <f>IFERROR(AVERAGEIFS(Table1[Final Score],Table1[Month],Table1[[#This Row],[Month]],Table1[Year],Table1[[#This Row],[Year]],Table1[Mechanic Name],Table1[[#This Row],[Mechanic Name]]),"")</f>
        <v/>
      </c>
    </row>
    <row r="1743" spans="3:12" hidden="1" x14ac:dyDescent="0.35">
      <c r="C1743" s="80"/>
      <c r="K1743" s="81">
        <f>SUM(Table1[[#This Row],[Technical Knowledge]:[Repeat job nahin aana]])/6</f>
        <v>0</v>
      </c>
      <c r="L1743" s="79" t="str">
        <f>IFERROR(AVERAGEIFS(Table1[Final Score],Table1[Month],Table1[[#This Row],[Month]],Table1[Year],Table1[[#This Row],[Year]],Table1[Mechanic Name],Table1[[#This Row],[Mechanic Name]]),"")</f>
        <v/>
      </c>
    </row>
    <row r="1744" spans="3:12" hidden="1" x14ac:dyDescent="0.35">
      <c r="C1744" s="80"/>
      <c r="K1744" s="81">
        <f>SUM(Table1[[#This Row],[Technical Knowledge]:[Repeat job nahin aana]])/6</f>
        <v>0</v>
      </c>
      <c r="L1744" s="79" t="str">
        <f>IFERROR(AVERAGEIFS(Table1[Final Score],Table1[Month],Table1[[#This Row],[Month]],Table1[Year],Table1[[#This Row],[Year]],Table1[Mechanic Name],Table1[[#This Row],[Mechanic Name]]),"")</f>
        <v/>
      </c>
    </row>
    <row r="1745" spans="3:12" hidden="1" x14ac:dyDescent="0.35">
      <c r="C1745" s="80"/>
      <c r="K1745" s="81">
        <f>SUM(Table1[[#This Row],[Technical Knowledge]:[Repeat job nahin aana]])/6</f>
        <v>0</v>
      </c>
      <c r="L1745" s="79" t="str">
        <f>IFERROR(AVERAGEIFS(Table1[Final Score],Table1[Month],Table1[[#This Row],[Month]],Table1[Year],Table1[[#This Row],[Year]],Table1[Mechanic Name],Table1[[#This Row],[Mechanic Name]]),"")</f>
        <v/>
      </c>
    </row>
    <row r="1746" spans="3:12" hidden="1" x14ac:dyDescent="0.35">
      <c r="C1746" s="80"/>
      <c r="K1746" s="81">
        <f>SUM(Table1[[#This Row],[Technical Knowledge]:[Repeat job nahin aana]])/6</f>
        <v>0</v>
      </c>
      <c r="L1746" s="79" t="str">
        <f>IFERROR(AVERAGEIFS(Table1[Final Score],Table1[Month],Table1[[#This Row],[Month]],Table1[Year],Table1[[#This Row],[Year]],Table1[Mechanic Name],Table1[[#This Row],[Mechanic Name]]),"")</f>
        <v/>
      </c>
    </row>
    <row r="1747" spans="3:12" hidden="1" x14ac:dyDescent="0.35">
      <c r="C1747" s="80"/>
      <c r="K1747" s="81">
        <f>SUM(Table1[[#This Row],[Technical Knowledge]:[Repeat job nahin aana]])/6</f>
        <v>0</v>
      </c>
      <c r="L1747" s="79" t="str">
        <f>IFERROR(AVERAGEIFS(Table1[Final Score],Table1[Month],Table1[[#This Row],[Month]],Table1[Year],Table1[[#This Row],[Year]],Table1[Mechanic Name],Table1[[#This Row],[Mechanic Name]]),"")</f>
        <v/>
      </c>
    </row>
    <row r="1748" spans="3:12" hidden="1" x14ac:dyDescent="0.35">
      <c r="C1748" s="80"/>
      <c r="K1748" s="81">
        <f>SUM(Table1[[#This Row],[Technical Knowledge]:[Repeat job nahin aana]])/6</f>
        <v>0</v>
      </c>
      <c r="L1748" s="79" t="str">
        <f>IFERROR(AVERAGEIFS(Table1[Final Score],Table1[Month],Table1[[#This Row],[Month]],Table1[Year],Table1[[#This Row],[Year]],Table1[Mechanic Name],Table1[[#This Row],[Mechanic Name]]),"")</f>
        <v/>
      </c>
    </row>
    <row r="1749" spans="3:12" hidden="1" x14ac:dyDescent="0.35">
      <c r="C1749" s="80"/>
      <c r="K1749" s="81">
        <f>SUM(Table1[[#This Row],[Technical Knowledge]:[Repeat job nahin aana]])/6</f>
        <v>0</v>
      </c>
      <c r="L1749" s="79" t="str">
        <f>IFERROR(AVERAGEIFS(Table1[Final Score],Table1[Month],Table1[[#This Row],[Month]],Table1[Year],Table1[[#This Row],[Year]],Table1[Mechanic Name],Table1[[#This Row],[Mechanic Name]]),"")</f>
        <v/>
      </c>
    </row>
    <row r="1750" spans="3:12" hidden="1" x14ac:dyDescent="0.35">
      <c r="C1750" s="80"/>
      <c r="K1750" s="81">
        <f>SUM(Table1[[#This Row],[Technical Knowledge]:[Repeat job nahin aana]])/6</f>
        <v>0</v>
      </c>
      <c r="L1750" s="79" t="str">
        <f>IFERROR(AVERAGEIFS(Table1[Final Score],Table1[Month],Table1[[#This Row],[Month]],Table1[Year],Table1[[#This Row],[Year]],Table1[Mechanic Name],Table1[[#This Row],[Mechanic Name]]),"")</f>
        <v/>
      </c>
    </row>
    <row r="1751" spans="3:12" hidden="1" x14ac:dyDescent="0.35">
      <c r="C1751" s="80"/>
      <c r="K1751" s="81">
        <f>SUM(Table1[[#This Row],[Technical Knowledge]:[Repeat job nahin aana]])/6</f>
        <v>0</v>
      </c>
      <c r="L1751" s="79" t="str">
        <f>IFERROR(AVERAGEIFS(Table1[Final Score],Table1[Month],Table1[[#This Row],[Month]],Table1[Year],Table1[[#This Row],[Year]],Table1[Mechanic Name],Table1[[#This Row],[Mechanic Name]]),"")</f>
        <v/>
      </c>
    </row>
    <row r="1752" spans="3:12" hidden="1" x14ac:dyDescent="0.35">
      <c r="C1752" s="80"/>
      <c r="K1752" s="81">
        <f>SUM(Table1[[#This Row],[Technical Knowledge]:[Repeat job nahin aana]])/6</f>
        <v>0</v>
      </c>
      <c r="L1752" s="79" t="str">
        <f>IFERROR(AVERAGEIFS(Table1[Final Score],Table1[Month],Table1[[#This Row],[Month]],Table1[Year],Table1[[#This Row],[Year]],Table1[Mechanic Name],Table1[[#This Row],[Mechanic Name]]),"")</f>
        <v/>
      </c>
    </row>
    <row r="1753" spans="3:12" hidden="1" x14ac:dyDescent="0.35">
      <c r="C1753" s="80"/>
      <c r="K1753" s="81">
        <f>SUM(Table1[[#This Row],[Technical Knowledge]:[Repeat job nahin aana]])/6</f>
        <v>0</v>
      </c>
      <c r="L1753" s="79" t="str">
        <f>IFERROR(AVERAGEIFS(Table1[Final Score],Table1[Month],Table1[[#This Row],[Month]],Table1[Year],Table1[[#This Row],[Year]],Table1[Mechanic Name],Table1[[#This Row],[Mechanic Name]]),"")</f>
        <v/>
      </c>
    </row>
    <row r="1754" spans="3:12" hidden="1" x14ac:dyDescent="0.35">
      <c r="C1754" s="80"/>
      <c r="K1754" s="81">
        <f>SUM(Table1[[#This Row],[Technical Knowledge]:[Repeat job nahin aana]])/6</f>
        <v>0</v>
      </c>
      <c r="L1754" s="79" t="str">
        <f>IFERROR(AVERAGEIFS(Table1[Final Score],Table1[Month],Table1[[#This Row],[Month]],Table1[Year],Table1[[#This Row],[Year]],Table1[Mechanic Name],Table1[[#This Row],[Mechanic Name]]),"")</f>
        <v/>
      </c>
    </row>
    <row r="1755" spans="3:12" hidden="1" x14ac:dyDescent="0.35">
      <c r="C1755" s="80"/>
      <c r="K1755" s="81">
        <f>SUM(Table1[[#This Row],[Technical Knowledge]:[Repeat job nahin aana]])/6</f>
        <v>0</v>
      </c>
      <c r="L1755" s="79" t="str">
        <f>IFERROR(AVERAGEIFS(Table1[Final Score],Table1[Month],Table1[[#This Row],[Month]],Table1[Year],Table1[[#This Row],[Year]],Table1[Mechanic Name],Table1[[#This Row],[Mechanic Name]]),"")</f>
        <v/>
      </c>
    </row>
    <row r="1756" spans="3:12" hidden="1" x14ac:dyDescent="0.35">
      <c r="C1756" s="80"/>
      <c r="K1756" s="81">
        <f>SUM(Table1[[#This Row],[Technical Knowledge]:[Repeat job nahin aana]])/6</f>
        <v>0</v>
      </c>
      <c r="L1756" s="79" t="str">
        <f>IFERROR(AVERAGEIFS(Table1[Final Score],Table1[Month],Table1[[#This Row],[Month]],Table1[Year],Table1[[#This Row],[Year]],Table1[Mechanic Name],Table1[[#This Row],[Mechanic Name]]),"")</f>
        <v/>
      </c>
    </row>
    <row r="1757" spans="3:12" hidden="1" x14ac:dyDescent="0.35">
      <c r="C1757" s="80"/>
      <c r="K1757" s="81">
        <f>SUM(Table1[[#This Row],[Technical Knowledge]:[Repeat job nahin aana]])/6</f>
        <v>0</v>
      </c>
      <c r="L1757" s="79" t="str">
        <f>IFERROR(AVERAGEIFS(Table1[Final Score],Table1[Month],Table1[[#This Row],[Month]],Table1[Year],Table1[[#This Row],[Year]],Table1[Mechanic Name],Table1[[#This Row],[Mechanic Name]]),"")</f>
        <v/>
      </c>
    </row>
    <row r="1758" spans="3:12" hidden="1" x14ac:dyDescent="0.35">
      <c r="C1758" s="80"/>
      <c r="K1758" s="81">
        <f>SUM(Table1[[#This Row],[Technical Knowledge]:[Repeat job nahin aana]])/6</f>
        <v>0</v>
      </c>
      <c r="L1758" s="79" t="str">
        <f>IFERROR(AVERAGEIFS(Table1[Final Score],Table1[Month],Table1[[#This Row],[Month]],Table1[Year],Table1[[#This Row],[Year]],Table1[Mechanic Name],Table1[[#This Row],[Mechanic Name]]),"")</f>
        <v/>
      </c>
    </row>
    <row r="1759" spans="3:12" hidden="1" x14ac:dyDescent="0.35">
      <c r="C1759" s="80"/>
      <c r="K1759" s="81">
        <f>SUM(Table1[[#This Row],[Technical Knowledge]:[Repeat job nahin aana]])/6</f>
        <v>0</v>
      </c>
      <c r="L1759" s="79" t="str">
        <f>IFERROR(AVERAGEIFS(Table1[Final Score],Table1[Month],Table1[[#This Row],[Month]],Table1[Year],Table1[[#This Row],[Year]],Table1[Mechanic Name],Table1[[#This Row],[Mechanic Name]]),"")</f>
        <v/>
      </c>
    </row>
    <row r="1760" spans="3:12" hidden="1" x14ac:dyDescent="0.35">
      <c r="C1760" s="80"/>
      <c r="K1760" s="81">
        <f>SUM(Table1[[#This Row],[Technical Knowledge]:[Repeat job nahin aana]])/6</f>
        <v>0</v>
      </c>
      <c r="L1760" s="79" t="str">
        <f>IFERROR(AVERAGEIFS(Table1[Final Score],Table1[Month],Table1[[#This Row],[Month]],Table1[Year],Table1[[#This Row],[Year]],Table1[Mechanic Name],Table1[[#This Row],[Mechanic Name]]),"")</f>
        <v/>
      </c>
    </row>
    <row r="1761" spans="3:12" hidden="1" x14ac:dyDescent="0.35">
      <c r="C1761" s="80"/>
      <c r="K1761" s="81">
        <f>SUM(Table1[[#This Row],[Technical Knowledge]:[Repeat job nahin aana]])/6</f>
        <v>0</v>
      </c>
      <c r="L1761" s="79" t="str">
        <f>IFERROR(AVERAGEIFS(Table1[Final Score],Table1[Month],Table1[[#This Row],[Month]],Table1[Year],Table1[[#This Row],[Year]],Table1[Mechanic Name],Table1[[#This Row],[Mechanic Name]]),"")</f>
        <v/>
      </c>
    </row>
    <row r="1762" spans="3:12" hidden="1" x14ac:dyDescent="0.35">
      <c r="C1762" s="80"/>
      <c r="K1762" s="81">
        <f>SUM(Table1[[#This Row],[Technical Knowledge]:[Repeat job nahin aana]])/6</f>
        <v>0</v>
      </c>
      <c r="L1762" s="79" t="str">
        <f>IFERROR(AVERAGEIFS(Table1[Final Score],Table1[Month],Table1[[#This Row],[Month]],Table1[Year],Table1[[#This Row],[Year]],Table1[Mechanic Name],Table1[[#This Row],[Mechanic Name]]),"")</f>
        <v/>
      </c>
    </row>
    <row r="1763" spans="3:12" hidden="1" x14ac:dyDescent="0.35">
      <c r="C1763" s="80"/>
      <c r="K1763" s="81">
        <f>SUM(Table1[[#This Row],[Technical Knowledge]:[Repeat job nahin aana]])/6</f>
        <v>0</v>
      </c>
      <c r="L1763" s="79" t="str">
        <f>IFERROR(AVERAGEIFS(Table1[Final Score],Table1[Month],Table1[[#This Row],[Month]],Table1[Year],Table1[[#This Row],[Year]],Table1[Mechanic Name],Table1[[#This Row],[Mechanic Name]]),"")</f>
        <v/>
      </c>
    </row>
    <row r="1764" spans="3:12" hidden="1" x14ac:dyDescent="0.35">
      <c r="C1764" s="80"/>
      <c r="K1764" s="81">
        <f>SUM(Table1[[#This Row],[Technical Knowledge]:[Repeat job nahin aana]])/6</f>
        <v>0</v>
      </c>
      <c r="L1764" s="79" t="str">
        <f>IFERROR(AVERAGEIFS(Table1[Final Score],Table1[Month],Table1[[#This Row],[Month]],Table1[Year],Table1[[#This Row],[Year]],Table1[Mechanic Name],Table1[[#This Row],[Mechanic Name]]),"")</f>
        <v/>
      </c>
    </row>
    <row r="1765" spans="3:12" hidden="1" x14ac:dyDescent="0.35">
      <c r="C1765" s="80"/>
      <c r="K1765" s="81">
        <f>SUM(Table1[[#This Row],[Technical Knowledge]:[Repeat job nahin aana]])/6</f>
        <v>0</v>
      </c>
      <c r="L1765" s="79" t="str">
        <f>IFERROR(AVERAGEIFS(Table1[Final Score],Table1[Month],Table1[[#This Row],[Month]],Table1[Year],Table1[[#This Row],[Year]],Table1[Mechanic Name],Table1[[#This Row],[Mechanic Name]]),"")</f>
        <v/>
      </c>
    </row>
    <row r="1766" spans="3:12" hidden="1" x14ac:dyDescent="0.35">
      <c r="C1766" s="80"/>
      <c r="K1766" s="81">
        <f>SUM(Table1[[#This Row],[Technical Knowledge]:[Repeat job nahin aana]])/6</f>
        <v>0</v>
      </c>
      <c r="L1766" s="79" t="str">
        <f>IFERROR(AVERAGEIFS(Table1[Final Score],Table1[Month],Table1[[#This Row],[Month]],Table1[Year],Table1[[#This Row],[Year]],Table1[Mechanic Name],Table1[[#This Row],[Mechanic Name]]),"")</f>
        <v/>
      </c>
    </row>
    <row r="1767" spans="3:12" hidden="1" x14ac:dyDescent="0.35">
      <c r="C1767" s="80"/>
      <c r="K1767" s="81">
        <f>SUM(Table1[[#This Row],[Technical Knowledge]:[Repeat job nahin aana]])/6</f>
        <v>0</v>
      </c>
      <c r="L1767" s="79" t="str">
        <f>IFERROR(AVERAGEIFS(Table1[Final Score],Table1[Month],Table1[[#This Row],[Month]],Table1[Year],Table1[[#This Row],[Year]],Table1[Mechanic Name],Table1[[#This Row],[Mechanic Name]]),"")</f>
        <v/>
      </c>
    </row>
    <row r="1768" spans="3:12" hidden="1" x14ac:dyDescent="0.35">
      <c r="C1768" s="80"/>
      <c r="K1768" s="81">
        <f>SUM(Table1[[#This Row],[Technical Knowledge]:[Repeat job nahin aana]])/6</f>
        <v>0</v>
      </c>
      <c r="L1768" s="79" t="str">
        <f>IFERROR(AVERAGEIFS(Table1[Final Score],Table1[Month],Table1[[#This Row],[Month]],Table1[Year],Table1[[#This Row],[Year]],Table1[Mechanic Name],Table1[[#This Row],[Mechanic Name]]),"")</f>
        <v/>
      </c>
    </row>
    <row r="1769" spans="3:12" hidden="1" x14ac:dyDescent="0.35">
      <c r="C1769" s="80"/>
      <c r="K1769" s="81">
        <f>SUM(Table1[[#This Row],[Technical Knowledge]:[Repeat job nahin aana]])/6</f>
        <v>0</v>
      </c>
      <c r="L1769" s="79" t="str">
        <f>IFERROR(AVERAGEIFS(Table1[Final Score],Table1[Month],Table1[[#This Row],[Month]],Table1[Year],Table1[[#This Row],[Year]],Table1[Mechanic Name],Table1[[#This Row],[Mechanic Name]]),"")</f>
        <v/>
      </c>
    </row>
    <row r="1770" spans="3:12" hidden="1" x14ac:dyDescent="0.35">
      <c r="C1770" s="80"/>
      <c r="K1770" s="81">
        <f>SUM(Table1[[#This Row],[Technical Knowledge]:[Repeat job nahin aana]])/6</f>
        <v>0</v>
      </c>
      <c r="L1770" s="79" t="str">
        <f>IFERROR(AVERAGEIFS(Table1[Final Score],Table1[Month],Table1[[#This Row],[Month]],Table1[Year],Table1[[#This Row],[Year]],Table1[Mechanic Name],Table1[[#This Row],[Mechanic Name]]),"")</f>
        <v/>
      </c>
    </row>
    <row r="1771" spans="3:12" hidden="1" x14ac:dyDescent="0.35">
      <c r="C1771" s="80"/>
      <c r="K1771" s="81">
        <f>SUM(Table1[[#This Row],[Technical Knowledge]:[Repeat job nahin aana]])/6</f>
        <v>0</v>
      </c>
      <c r="L1771" s="79" t="str">
        <f>IFERROR(AVERAGEIFS(Table1[Final Score],Table1[Month],Table1[[#This Row],[Month]],Table1[Year],Table1[[#This Row],[Year]],Table1[Mechanic Name],Table1[[#This Row],[Mechanic Name]]),"")</f>
        <v/>
      </c>
    </row>
    <row r="1772" spans="3:12" hidden="1" x14ac:dyDescent="0.35">
      <c r="C1772" s="80"/>
      <c r="K1772" s="81">
        <f>SUM(Table1[[#This Row],[Technical Knowledge]:[Repeat job nahin aana]])/6</f>
        <v>0</v>
      </c>
      <c r="L1772" s="79" t="str">
        <f>IFERROR(AVERAGEIFS(Table1[Final Score],Table1[Month],Table1[[#This Row],[Month]],Table1[Year],Table1[[#This Row],[Year]],Table1[Mechanic Name],Table1[[#This Row],[Mechanic Name]]),"")</f>
        <v/>
      </c>
    </row>
    <row r="1773" spans="3:12" hidden="1" x14ac:dyDescent="0.35">
      <c r="C1773" s="80"/>
      <c r="K1773" s="81">
        <f>SUM(Table1[[#This Row],[Technical Knowledge]:[Repeat job nahin aana]])/6</f>
        <v>0</v>
      </c>
      <c r="L1773" s="79" t="str">
        <f>IFERROR(AVERAGEIFS(Table1[Final Score],Table1[Month],Table1[[#This Row],[Month]],Table1[Year],Table1[[#This Row],[Year]],Table1[Mechanic Name],Table1[[#This Row],[Mechanic Name]]),"")</f>
        <v/>
      </c>
    </row>
    <row r="1774" spans="3:12" hidden="1" x14ac:dyDescent="0.35">
      <c r="C1774" s="80"/>
      <c r="K1774" s="81">
        <f>SUM(Table1[[#This Row],[Technical Knowledge]:[Repeat job nahin aana]])/6</f>
        <v>0</v>
      </c>
      <c r="L1774" s="79" t="str">
        <f>IFERROR(AVERAGEIFS(Table1[Final Score],Table1[Month],Table1[[#This Row],[Month]],Table1[Year],Table1[[#This Row],[Year]],Table1[Mechanic Name],Table1[[#This Row],[Mechanic Name]]),"")</f>
        <v/>
      </c>
    </row>
    <row r="1775" spans="3:12" hidden="1" x14ac:dyDescent="0.35">
      <c r="C1775" s="80"/>
      <c r="K1775" s="81">
        <f>SUM(Table1[[#This Row],[Technical Knowledge]:[Repeat job nahin aana]])/6</f>
        <v>0</v>
      </c>
      <c r="L1775" s="79" t="str">
        <f>IFERROR(AVERAGEIFS(Table1[Final Score],Table1[Month],Table1[[#This Row],[Month]],Table1[Year],Table1[[#This Row],[Year]],Table1[Mechanic Name],Table1[[#This Row],[Mechanic Name]]),"")</f>
        <v/>
      </c>
    </row>
    <row r="1776" spans="3:12" hidden="1" x14ac:dyDescent="0.35">
      <c r="C1776" s="80"/>
      <c r="K1776" s="81">
        <f>SUM(Table1[[#This Row],[Technical Knowledge]:[Repeat job nahin aana]])/6</f>
        <v>0</v>
      </c>
      <c r="L1776" s="79" t="str">
        <f>IFERROR(AVERAGEIFS(Table1[Final Score],Table1[Month],Table1[[#This Row],[Month]],Table1[Year],Table1[[#This Row],[Year]],Table1[Mechanic Name],Table1[[#This Row],[Mechanic Name]]),"")</f>
        <v/>
      </c>
    </row>
    <row r="1777" spans="3:12" hidden="1" x14ac:dyDescent="0.35">
      <c r="C1777" s="80"/>
      <c r="K1777" s="81">
        <f>SUM(Table1[[#This Row],[Technical Knowledge]:[Repeat job nahin aana]])/6</f>
        <v>0</v>
      </c>
      <c r="L1777" s="79" t="str">
        <f>IFERROR(AVERAGEIFS(Table1[Final Score],Table1[Month],Table1[[#This Row],[Month]],Table1[Year],Table1[[#This Row],[Year]],Table1[Mechanic Name],Table1[[#This Row],[Mechanic Name]]),"")</f>
        <v/>
      </c>
    </row>
    <row r="1778" spans="3:12" hidden="1" x14ac:dyDescent="0.35">
      <c r="C1778" s="80"/>
      <c r="K1778" s="81">
        <f>SUM(Table1[[#This Row],[Technical Knowledge]:[Repeat job nahin aana]])/6</f>
        <v>0</v>
      </c>
      <c r="L1778" s="79" t="str">
        <f>IFERROR(AVERAGEIFS(Table1[Final Score],Table1[Month],Table1[[#This Row],[Month]],Table1[Year],Table1[[#This Row],[Year]],Table1[Mechanic Name],Table1[[#This Row],[Mechanic Name]]),"")</f>
        <v/>
      </c>
    </row>
    <row r="1779" spans="3:12" hidden="1" x14ac:dyDescent="0.35">
      <c r="C1779" s="80"/>
      <c r="K1779" s="81">
        <f>SUM(Table1[[#This Row],[Technical Knowledge]:[Repeat job nahin aana]])/6</f>
        <v>0</v>
      </c>
      <c r="L1779" s="79" t="str">
        <f>IFERROR(AVERAGEIFS(Table1[Final Score],Table1[Month],Table1[[#This Row],[Month]],Table1[Year],Table1[[#This Row],[Year]],Table1[Mechanic Name],Table1[[#This Row],[Mechanic Name]]),"")</f>
        <v/>
      </c>
    </row>
    <row r="1780" spans="3:12" hidden="1" x14ac:dyDescent="0.35">
      <c r="C1780" s="80"/>
      <c r="K1780" s="81">
        <f>SUM(Table1[[#This Row],[Technical Knowledge]:[Repeat job nahin aana]])/6</f>
        <v>0</v>
      </c>
      <c r="L1780" s="79" t="str">
        <f>IFERROR(AVERAGEIFS(Table1[Final Score],Table1[Month],Table1[[#This Row],[Month]],Table1[Year],Table1[[#This Row],[Year]],Table1[Mechanic Name],Table1[[#This Row],[Mechanic Name]]),"")</f>
        <v/>
      </c>
    </row>
    <row r="1781" spans="3:12" hidden="1" x14ac:dyDescent="0.35">
      <c r="C1781" s="80"/>
      <c r="K1781" s="81">
        <f>SUM(Table1[[#This Row],[Technical Knowledge]:[Repeat job nahin aana]])/6</f>
        <v>0</v>
      </c>
      <c r="L1781" s="79" t="str">
        <f>IFERROR(AVERAGEIFS(Table1[Final Score],Table1[Month],Table1[[#This Row],[Month]],Table1[Year],Table1[[#This Row],[Year]],Table1[Mechanic Name],Table1[[#This Row],[Mechanic Name]]),"")</f>
        <v/>
      </c>
    </row>
    <row r="1782" spans="3:12" hidden="1" x14ac:dyDescent="0.35">
      <c r="C1782" s="80"/>
      <c r="K1782" s="81">
        <f>SUM(Table1[[#This Row],[Technical Knowledge]:[Repeat job nahin aana]])/6</f>
        <v>0</v>
      </c>
      <c r="L1782" s="79" t="str">
        <f>IFERROR(AVERAGEIFS(Table1[Final Score],Table1[Month],Table1[[#This Row],[Month]],Table1[Year],Table1[[#This Row],[Year]],Table1[Mechanic Name],Table1[[#This Row],[Mechanic Name]]),"")</f>
        <v/>
      </c>
    </row>
    <row r="1783" spans="3:12" hidden="1" x14ac:dyDescent="0.35">
      <c r="C1783" s="80"/>
      <c r="K1783" s="81">
        <f>SUM(Table1[[#This Row],[Technical Knowledge]:[Repeat job nahin aana]])/6</f>
        <v>0</v>
      </c>
      <c r="L1783" s="79" t="str">
        <f>IFERROR(AVERAGEIFS(Table1[Final Score],Table1[Month],Table1[[#This Row],[Month]],Table1[Year],Table1[[#This Row],[Year]],Table1[Mechanic Name],Table1[[#This Row],[Mechanic Name]]),"")</f>
        <v/>
      </c>
    </row>
    <row r="1784" spans="3:12" hidden="1" x14ac:dyDescent="0.35">
      <c r="C1784" s="80"/>
      <c r="K1784" s="81">
        <f>SUM(Table1[[#This Row],[Technical Knowledge]:[Repeat job nahin aana]])/6</f>
        <v>0</v>
      </c>
      <c r="L1784" s="79" t="str">
        <f>IFERROR(AVERAGEIFS(Table1[Final Score],Table1[Month],Table1[[#This Row],[Month]],Table1[Year],Table1[[#This Row],[Year]],Table1[Mechanic Name],Table1[[#This Row],[Mechanic Name]]),"")</f>
        <v/>
      </c>
    </row>
    <row r="1785" spans="3:12" hidden="1" x14ac:dyDescent="0.35">
      <c r="C1785" s="80"/>
      <c r="K1785" s="81">
        <f>SUM(Table1[[#This Row],[Technical Knowledge]:[Repeat job nahin aana]])/6</f>
        <v>0</v>
      </c>
      <c r="L1785" s="79" t="str">
        <f>IFERROR(AVERAGEIFS(Table1[Final Score],Table1[Month],Table1[[#This Row],[Month]],Table1[Year],Table1[[#This Row],[Year]],Table1[Mechanic Name],Table1[[#This Row],[Mechanic Name]]),"")</f>
        <v/>
      </c>
    </row>
    <row r="1786" spans="3:12" hidden="1" x14ac:dyDescent="0.35">
      <c r="C1786" s="80"/>
      <c r="K1786" s="81">
        <f>SUM(Table1[[#This Row],[Technical Knowledge]:[Repeat job nahin aana]])/6</f>
        <v>0</v>
      </c>
      <c r="L1786" s="79" t="str">
        <f>IFERROR(AVERAGEIFS(Table1[Final Score],Table1[Month],Table1[[#This Row],[Month]],Table1[Year],Table1[[#This Row],[Year]],Table1[Mechanic Name],Table1[[#This Row],[Mechanic Name]]),"")</f>
        <v/>
      </c>
    </row>
    <row r="1787" spans="3:12" hidden="1" x14ac:dyDescent="0.35">
      <c r="C1787" s="80"/>
      <c r="K1787" s="81">
        <f>SUM(Table1[[#This Row],[Technical Knowledge]:[Repeat job nahin aana]])/6</f>
        <v>0</v>
      </c>
      <c r="L1787" s="79" t="str">
        <f>IFERROR(AVERAGEIFS(Table1[Final Score],Table1[Month],Table1[[#This Row],[Month]],Table1[Year],Table1[[#This Row],[Year]],Table1[Mechanic Name],Table1[[#This Row],[Mechanic Name]]),"")</f>
        <v/>
      </c>
    </row>
    <row r="1788" spans="3:12" hidden="1" x14ac:dyDescent="0.35">
      <c r="C1788" s="80"/>
      <c r="K1788" s="81">
        <f>SUM(Table1[[#This Row],[Technical Knowledge]:[Repeat job nahin aana]])/6</f>
        <v>0</v>
      </c>
      <c r="L1788" s="79" t="str">
        <f>IFERROR(AVERAGEIFS(Table1[Final Score],Table1[Month],Table1[[#This Row],[Month]],Table1[Year],Table1[[#This Row],[Year]],Table1[Mechanic Name],Table1[[#This Row],[Mechanic Name]]),"")</f>
        <v/>
      </c>
    </row>
    <row r="1789" spans="3:12" hidden="1" x14ac:dyDescent="0.35">
      <c r="C1789" s="80"/>
      <c r="K1789" s="81">
        <f>SUM(Table1[[#This Row],[Technical Knowledge]:[Repeat job nahin aana]])/6</f>
        <v>0</v>
      </c>
      <c r="L1789" s="79" t="str">
        <f>IFERROR(AVERAGEIFS(Table1[Final Score],Table1[Month],Table1[[#This Row],[Month]],Table1[Year],Table1[[#This Row],[Year]],Table1[Mechanic Name],Table1[[#This Row],[Mechanic Name]]),"")</f>
        <v/>
      </c>
    </row>
    <row r="1790" spans="3:12" hidden="1" x14ac:dyDescent="0.35">
      <c r="C1790" s="80"/>
      <c r="K1790" s="81">
        <f>SUM(Table1[[#This Row],[Technical Knowledge]:[Repeat job nahin aana]])/6</f>
        <v>0</v>
      </c>
      <c r="L1790" s="79" t="str">
        <f>IFERROR(AVERAGEIFS(Table1[Final Score],Table1[Month],Table1[[#This Row],[Month]],Table1[Year],Table1[[#This Row],[Year]],Table1[Mechanic Name],Table1[[#This Row],[Mechanic Name]]),"")</f>
        <v/>
      </c>
    </row>
    <row r="1791" spans="3:12" hidden="1" x14ac:dyDescent="0.35">
      <c r="C1791" s="80"/>
      <c r="K1791" s="81">
        <f>SUM(Table1[[#This Row],[Technical Knowledge]:[Repeat job nahin aana]])/6</f>
        <v>0</v>
      </c>
      <c r="L1791" s="79" t="str">
        <f>IFERROR(AVERAGEIFS(Table1[Final Score],Table1[Month],Table1[[#This Row],[Month]],Table1[Year],Table1[[#This Row],[Year]],Table1[Mechanic Name],Table1[[#This Row],[Mechanic Name]]),"")</f>
        <v/>
      </c>
    </row>
    <row r="1792" spans="3:12" hidden="1" x14ac:dyDescent="0.35">
      <c r="C1792" s="80"/>
      <c r="K1792" s="81">
        <f>SUM(Table1[[#This Row],[Technical Knowledge]:[Repeat job nahin aana]])/6</f>
        <v>0</v>
      </c>
      <c r="L1792" s="79" t="str">
        <f>IFERROR(AVERAGEIFS(Table1[Final Score],Table1[Month],Table1[[#This Row],[Month]],Table1[Year],Table1[[#This Row],[Year]],Table1[Mechanic Name],Table1[[#This Row],[Mechanic Name]]),"")</f>
        <v/>
      </c>
    </row>
    <row r="1793" spans="3:12" hidden="1" x14ac:dyDescent="0.35">
      <c r="C1793" s="80"/>
      <c r="K1793" s="81">
        <f>SUM(Table1[[#This Row],[Technical Knowledge]:[Repeat job nahin aana]])/6</f>
        <v>0</v>
      </c>
      <c r="L1793" s="79" t="str">
        <f>IFERROR(AVERAGEIFS(Table1[Final Score],Table1[Month],Table1[[#This Row],[Month]],Table1[Year],Table1[[#This Row],[Year]],Table1[Mechanic Name],Table1[[#This Row],[Mechanic Name]]),"")</f>
        <v/>
      </c>
    </row>
    <row r="1794" spans="3:12" hidden="1" x14ac:dyDescent="0.35">
      <c r="C1794" s="80"/>
      <c r="K1794" s="81">
        <f>SUM(Table1[[#This Row],[Technical Knowledge]:[Repeat job nahin aana]])/6</f>
        <v>0</v>
      </c>
      <c r="L1794" s="79" t="str">
        <f>IFERROR(AVERAGEIFS(Table1[Final Score],Table1[Month],Table1[[#This Row],[Month]],Table1[Year],Table1[[#This Row],[Year]],Table1[Mechanic Name],Table1[[#This Row],[Mechanic Name]]),"")</f>
        <v/>
      </c>
    </row>
    <row r="1795" spans="3:12" hidden="1" x14ac:dyDescent="0.35">
      <c r="C1795" s="80"/>
      <c r="K1795" s="81">
        <f>SUM(Table1[[#This Row],[Technical Knowledge]:[Repeat job nahin aana]])/6</f>
        <v>0</v>
      </c>
      <c r="L1795" s="79" t="str">
        <f>IFERROR(AVERAGEIFS(Table1[Final Score],Table1[Month],Table1[[#This Row],[Month]],Table1[Year],Table1[[#This Row],[Year]],Table1[Mechanic Name],Table1[[#This Row],[Mechanic Name]]),"")</f>
        <v/>
      </c>
    </row>
    <row r="1796" spans="3:12" hidden="1" x14ac:dyDescent="0.35">
      <c r="C1796" s="80"/>
      <c r="K1796" s="81">
        <f>SUM(Table1[[#This Row],[Technical Knowledge]:[Repeat job nahin aana]])/6</f>
        <v>0</v>
      </c>
      <c r="L1796" s="79" t="str">
        <f>IFERROR(AVERAGEIFS(Table1[Final Score],Table1[Month],Table1[[#This Row],[Month]],Table1[Year],Table1[[#This Row],[Year]],Table1[Mechanic Name],Table1[[#This Row],[Mechanic Name]]),"")</f>
        <v/>
      </c>
    </row>
    <row r="1797" spans="3:12" hidden="1" x14ac:dyDescent="0.35">
      <c r="C1797" s="80"/>
      <c r="K1797" s="81">
        <f>SUM(Table1[[#This Row],[Technical Knowledge]:[Repeat job nahin aana]])/6</f>
        <v>0</v>
      </c>
      <c r="L1797" s="79" t="str">
        <f>IFERROR(AVERAGEIFS(Table1[Final Score],Table1[Month],Table1[[#This Row],[Month]],Table1[Year],Table1[[#This Row],[Year]],Table1[Mechanic Name],Table1[[#This Row],[Mechanic Name]]),"")</f>
        <v/>
      </c>
    </row>
    <row r="1798" spans="3:12" hidden="1" x14ac:dyDescent="0.35">
      <c r="C1798" s="80"/>
      <c r="K1798" s="81">
        <f>SUM(Table1[[#This Row],[Technical Knowledge]:[Repeat job nahin aana]])/6</f>
        <v>0</v>
      </c>
      <c r="L1798" s="79" t="str">
        <f>IFERROR(AVERAGEIFS(Table1[Final Score],Table1[Month],Table1[[#This Row],[Month]],Table1[Year],Table1[[#This Row],[Year]],Table1[Mechanic Name],Table1[[#This Row],[Mechanic Name]]),"")</f>
        <v/>
      </c>
    </row>
    <row r="1799" spans="3:12" hidden="1" x14ac:dyDescent="0.35">
      <c r="C1799" s="80"/>
      <c r="K1799" s="81">
        <f>SUM(Table1[[#This Row],[Technical Knowledge]:[Repeat job nahin aana]])/6</f>
        <v>0</v>
      </c>
      <c r="L1799" s="79" t="str">
        <f>IFERROR(AVERAGEIFS(Table1[Final Score],Table1[Month],Table1[[#This Row],[Month]],Table1[Year],Table1[[#This Row],[Year]],Table1[Mechanic Name],Table1[[#This Row],[Mechanic Name]]),"")</f>
        <v/>
      </c>
    </row>
    <row r="1800" spans="3:12" hidden="1" x14ac:dyDescent="0.35">
      <c r="C1800" s="80"/>
      <c r="K1800" s="81">
        <f>SUM(Table1[[#This Row],[Technical Knowledge]:[Repeat job nahin aana]])/6</f>
        <v>0</v>
      </c>
      <c r="L1800" s="79" t="str">
        <f>IFERROR(AVERAGEIFS(Table1[Final Score],Table1[Month],Table1[[#This Row],[Month]],Table1[Year],Table1[[#This Row],[Year]],Table1[Mechanic Name],Table1[[#This Row],[Mechanic Name]]),"")</f>
        <v/>
      </c>
    </row>
    <row r="1801" spans="3:12" hidden="1" x14ac:dyDescent="0.35">
      <c r="C1801" s="80"/>
      <c r="K1801" s="81">
        <f>SUM(Table1[[#This Row],[Technical Knowledge]:[Repeat job nahin aana]])/6</f>
        <v>0</v>
      </c>
      <c r="L1801" s="79" t="str">
        <f>IFERROR(AVERAGEIFS(Table1[Final Score],Table1[Month],Table1[[#This Row],[Month]],Table1[Year],Table1[[#This Row],[Year]],Table1[Mechanic Name],Table1[[#This Row],[Mechanic Name]]),"")</f>
        <v/>
      </c>
    </row>
    <row r="1802" spans="3:12" hidden="1" x14ac:dyDescent="0.35">
      <c r="C1802" s="80"/>
      <c r="K1802" s="81">
        <f>SUM(Table1[[#This Row],[Technical Knowledge]:[Repeat job nahin aana]])/6</f>
        <v>0</v>
      </c>
      <c r="L1802" s="79" t="str">
        <f>IFERROR(AVERAGEIFS(Table1[Final Score],Table1[Month],Table1[[#This Row],[Month]],Table1[Year],Table1[[#This Row],[Year]],Table1[Mechanic Name],Table1[[#This Row],[Mechanic Name]]),"")</f>
        <v/>
      </c>
    </row>
    <row r="1803" spans="3:12" hidden="1" x14ac:dyDescent="0.35">
      <c r="C1803" s="80"/>
      <c r="K1803" s="81">
        <f>SUM(Table1[[#This Row],[Technical Knowledge]:[Repeat job nahin aana]])/6</f>
        <v>0</v>
      </c>
      <c r="L1803" s="79" t="str">
        <f>IFERROR(AVERAGEIFS(Table1[Final Score],Table1[Month],Table1[[#This Row],[Month]],Table1[Year],Table1[[#This Row],[Year]],Table1[Mechanic Name],Table1[[#This Row],[Mechanic Name]]),"")</f>
        <v/>
      </c>
    </row>
    <row r="1804" spans="3:12" hidden="1" x14ac:dyDescent="0.35">
      <c r="C1804" s="80"/>
      <c r="K1804" s="81">
        <f>SUM(Table1[[#This Row],[Technical Knowledge]:[Repeat job nahin aana]])/6</f>
        <v>0</v>
      </c>
      <c r="L1804" s="79" t="str">
        <f>IFERROR(AVERAGEIFS(Table1[Final Score],Table1[Month],Table1[[#This Row],[Month]],Table1[Year],Table1[[#This Row],[Year]],Table1[Mechanic Name],Table1[[#This Row],[Mechanic Name]]),"")</f>
        <v/>
      </c>
    </row>
    <row r="1805" spans="3:12" hidden="1" x14ac:dyDescent="0.35">
      <c r="C1805" s="80"/>
      <c r="K1805" s="81">
        <f>SUM(Table1[[#This Row],[Technical Knowledge]:[Repeat job nahin aana]])/6</f>
        <v>0</v>
      </c>
      <c r="L1805" s="79" t="str">
        <f>IFERROR(AVERAGEIFS(Table1[Final Score],Table1[Month],Table1[[#This Row],[Month]],Table1[Year],Table1[[#This Row],[Year]],Table1[Mechanic Name],Table1[[#This Row],[Mechanic Name]]),"")</f>
        <v/>
      </c>
    </row>
    <row r="1806" spans="3:12" hidden="1" x14ac:dyDescent="0.35">
      <c r="C1806" s="80"/>
      <c r="K1806" s="81">
        <f>SUM(Table1[[#This Row],[Technical Knowledge]:[Repeat job nahin aana]])/6</f>
        <v>0</v>
      </c>
      <c r="L1806" s="79" t="str">
        <f>IFERROR(AVERAGEIFS(Table1[Final Score],Table1[Month],Table1[[#This Row],[Month]],Table1[Year],Table1[[#This Row],[Year]],Table1[Mechanic Name],Table1[[#This Row],[Mechanic Name]]),"")</f>
        <v/>
      </c>
    </row>
    <row r="1807" spans="3:12" hidden="1" x14ac:dyDescent="0.35">
      <c r="C1807" s="80"/>
      <c r="K1807" s="81">
        <f>SUM(Table1[[#This Row],[Technical Knowledge]:[Repeat job nahin aana]])/6</f>
        <v>0</v>
      </c>
      <c r="L1807" s="79" t="str">
        <f>IFERROR(AVERAGEIFS(Table1[Final Score],Table1[Month],Table1[[#This Row],[Month]],Table1[Year],Table1[[#This Row],[Year]],Table1[Mechanic Name],Table1[[#This Row],[Mechanic Name]]),"")</f>
        <v/>
      </c>
    </row>
    <row r="1808" spans="3:12" hidden="1" x14ac:dyDescent="0.35">
      <c r="C1808" s="80"/>
      <c r="K1808" s="81">
        <f>SUM(Table1[[#This Row],[Technical Knowledge]:[Repeat job nahin aana]])/6</f>
        <v>0</v>
      </c>
      <c r="L1808" s="79" t="str">
        <f>IFERROR(AVERAGEIFS(Table1[Final Score],Table1[Month],Table1[[#This Row],[Month]],Table1[Year],Table1[[#This Row],[Year]],Table1[Mechanic Name],Table1[[#This Row],[Mechanic Name]]),"")</f>
        <v/>
      </c>
    </row>
    <row r="1809" spans="3:12" hidden="1" x14ac:dyDescent="0.35">
      <c r="C1809" s="80"/>
      <c r="K1809" s="81">
        <f>SUM(Table1[[#This Row],[Technical Knowledge]:[Repeat job nahin aana]])/6</f>
        <v>0</v>
      </c>
      <c r="L1809" s="79" t="str">
        <f>IFERROR(AVERAGEIFS(Table1[Final Score],Table1[Month],Table1[[#This Row],[Month]],Table1[Year],Table1[[#This Row],[Year]],Table1[Mechanic Name],Table1[[#This Row],[Mechanic Name]]),"")</f>
        <v/>
      </c>
    </row>
    <row r="1810" spans="3:12" hidden="1" x14ac:dyDescent="0.35">
      <c r="C1810" s="80"/>
      <c r="K1810" s="81">
        <f>SUM(Table1[[#This Row],[Technical Knowledge]:[Repeat job nahin aana]])/6</f>
        <v>0</v>
      </c>
      <c r="L1810" s="79" t="str">
        <f>IFERROR(AVERAGEIFS(Table1[Final Score],Table1[Month],Table1[[#This Row],[Month]],Table1[Year],Table1[[#This Row],[Year]],Table1[Mechanic Name],Table1[[#This Row],[Mechanic Name]]),"")</f>
        <v/>
      </c>
    </row>
    <row r="1811" spans="3:12" hidden="1" x14ac:dyDescent="0.35">
      <c r="C1811" s="80"/>
      <c r="K1811" s="81">
        <f>SUM(Table1[[#This Row],[Technical Knowledge]:[Repeat job nahin aana]])/6</f>
        <v>0</v>
      </c>
      <c r="L1811" s="79" t="str">
        <f>IFERROR(AVERAGEIFS(Table1[Final Score],Table1[Month],Table1[[#This Row],[Month]],Table1[Year],Table1[[#This Row],[Year]],Table1[Mechanic Name],Table1[[#This Row],[Mechanic Name]]),"")</f>
        <v/>
      </c>
    </row>
    <row r="1812" spans="3:12" hidden="1" x14ac:dyDescent="0.35">
      <c r="C1812" s="80"/>
      <c r="K1812" s="81">
        <f>SUM(Table1[[#This Row],[Technical Knowledge]:[Repeat job nahin aana]])/6</f>
        <v>0</v>
      </c>
      <c r="L1812" s="79" t="str">
        <f>IFERROR(AVERAGEIFS(Table1[Final Score],Table1[Month],Table1[[#This Row],[Month]],Table1[Year],Table1[[#This Row],[Year]],Table1[Mechanic Name],Table1[[#This Row],[Mechanic Name]]),"")</f>
        <v/>
      </c>
    </row>
    <row r="1813" spans="3:12" hidden="1" x14ac:dyDescent="0.35">
      <c r="C1813" s="80"/>
      <c r="K1813" s="81">
        <f>SUM(Table1[[#This Row],[Technical Knowledge]:[Repeat job nahin aana]])/6</f>
        <v>0</v>
      </c>
      <c r="L1813" s="79" t="str">
        <f>IFERROR(AVERAGEIFS(Table1[Final Score],Table1[Month],Table1[[#This Row],[Month]],Table1[Year],Table1[[#This Row],[Year]],Table1[Mechanic Name],Table1[[#This Row],[Mechanic Name]]),"")</f>
        <v/>
      </c>
    </row>
    <row r="1814" spans="3:12" hidden="1" x14ac:dyDescent="0.35">
      <c r="C1814" s="80"/>
      <c r="K1814" s="81">
        <f>SUM(Table1[[#This Row],[Technical Knowledge]:[Repeat job nahin aana]])/6</f>
        <v>0</v>
      </c>
      <c r="L1814" s="79" t="str">
        <f>IFERROR(AVERAGEIFS(Table1[Final Score],Table1[Month],Table1[[#This Row],[Month]],Table1[Year],Table1[[#This Row],[Year]],Table1[Mechanic Name],Table1[[#This Row],[Mechanic Name]]),"")</f>
        <v/>
      </c>
    </row>
    <row r="1815" spans="3:12" hidden="1" x14ac:dyDescent="0.35">
      <c r="C1815" s="80"/>
      <c r="K1815" s="81">
        <f>SUM(Table1[[#This Row],[Technical Knowledge]:[Repeat job nahin aana]])/6</f>
        <v>0</v>
      </c>
      <c r="L1815" s="79" t="str">
        <f>IFERROR(AVERAGEIFS(Table1[Final Score],Table1[Month],Table1[[#This Row],[Month]],Table1[Year],Table1[[#This Row],[Year]],Table1[Mechanic Name],Table1[[#This Row],[Mechanic Name]]),"")</f>
        <v/>
      </c>
    </row>
    <row r="1816" spans="3:12" hidden="1" x14ac:dyDescent="0.35">
      <c r="C1816" s="80"/>
      <c r="K1816" s="81">
        <f>SUM(Table1[[#This Row],[Technical Knowledge]:[Repeat job nahin aana]])/6</f>
        <v>0</v>
      </c>
      <c r="L1816" s="79" t="str">
        <f>IFERROR(AVERAGEIFS(Table1[Final Score],Table1[Month],Table1[[#This Row],[Month]],Table1[Year],Table1[[#This Row],[Year]],Table1[Mechanic Name],Table1[[#This Row],[Mechanic Name]]),"")</f>
        <v/>
      </c>
    </row>
    <row r="1817" spans="3:12" hidden="1" x14ac:dyDescent="0.35">
      <c r="C1817" s="80"/>
      <c r="K1817" s="81">
        <f>SUM(Table1[[#This Row],[Technical Knowledge]:[Repeat job nahin aana]])/6</f>
        <v>0</v>
      </c>
      <c r="L1817" s="79" t="str">
        <f>IFERROR(AVERAGEIFS(Table1[Final Score],Table1[Month],Table1[[#This Row],[Month]],Table1[Year],Table1[[#This Row],[Year]],Table1[Mechanic Name],Table1[[#This Row],[Mechanic Name]]),"")</f>
        <v/>
      </c>
    </row>
    <row r="1818" spans="3:12" hidden="1" x14ac:dyDescent="0.35">
      <c r="C1818" s="80"/>
      <c r="K1818" s="81">
        <f>SUM(Table1[[#This Row],[Technical Knowledge]:[Repeat job nahin aana]])/6</f>
        <v>0</v>
      </c>
      <c r="L1818" s="79" t="str">
        <f>IFERROR(AVERAGEIFS(Table1[Final Score],Table1[Month],Table1[[#This Row],[Month]],Table1[Year],Table1[[#This Row],[Year]],Table1[Mechanic Name],Table1[[#This Row],[Mechanic Name]]),"")</f>
        <v/>
      </c>
    </row>
    <row r="1819" spans="3:12" hidden="1" x14ac:dyDescent="0.35">
      <c r="C1819" s="80"/>
      <c r="K1819" s="81">
        <f>SUM(Table1[[#This Row],[Technical Knowledge]:[Repeat job nahin aana]])/6</f>
        <v>0</v>
      </c>
      <c r="L1819" s="79" t="str">
        <f>IFERROR(AVERAGEIFS(Table1[Final Score],Table1[Month],Table1[[#This Row],[Month]],Table1[Year],Table1[[#This Row],[Year]],Table1[Mechanic Name],Table1[[#This Row],[Mechanic Name]]),"")</f>
        <v/>
      </c>
    </row>
    <row r="1820" spans="3:12" hidden="1" x14ac:dyDescent="0.35">
      <c r="C1820" s="80"/>
      <c r="K1820" s="81">
        <f>SUM(Table1[[#This Row],[Technical Knowledge]:[Repeat job nahin aana]])/6</f>
        <v>0</v>
      </c>
      <c r="L1820" s="79" t="str">
        <f>IFERROR(AVERAGEIFS(Table1[Final Score],Table1[Month],Table1[[#This Row],[Month]],Table1[Year],Table1[[#This Row],[Year]],Table1[Mechanic Name],Table1[[#This Row],[Mechanic Name]]),"")</f>
        <v/>
      </c>
    </row>
    <row r="1821" spans="3:12" hidden="1" x14ac:dyDescent="0.35">
      <c r="C1821" s="80"/>
      <c r="K1821" s="81">
        <f>SUM(Table1[[#This Row],[Technical Knowledge]:[Repeat job nahin aana]])/6</f>
        <v>0</v>
      </c>
      <c r="L1821" s="79" t="str">
        <f>IFERROR(AVERAGEIFS(Table1[Final Score],Table1[Month],Table1[[#This Row],[Month]],Table1[Year],Table1[[#This Row],[Year]],Table1[Mechanic Name],Table1[[#This Row],[Mechanic Name]]),"")</f>
        <v/>
      </c>
    </row>
    <row r="1822" spans="3:12" hidden="1" x14ac:dyDescent="0.35">
      <c r="C1822" s="80"/>
      <c r="K1822" s="81">
        <f>SUM(Table1[[#This Row],[Technical Knowledge]:[Repeat job nahin aana]])/6</f>
        <v>0</v>
      </c>
      <c r="L1822" s="79" t="str">
        <f>IFERROR(AVERAGEIFS(Table1[Final Score],Table1[Month],Table1[[#This Row],[Month]],Table1[Year],Table1[[#This Row],[Year]],Table1[Mechanic Name],Table1[[#This Row],[Mechanic Name]]),"")</f>
        <v/>
      </c>
    </row>
    <row r="1823" spans="3:12" hidden="1" x14ac:dyDescent="0.35">
      <c r="C1823" s="80"/>
      <c r="K1823" s="81">
        <f>SUM(Table1[[#This Row],[Technical Knowledge]:[Repeat job nahin aana]])/6</f>
        <v>0</v>
      </c>
      <c r="L1823" s="79" t="str">
        <f>IFERROR(AVERAGEIFS(Table1[Final Score],Table1[Month],Table1[[#This Row],[Month]],Table1[Year],Table1[[#This Row],[Year]],Table1[Mechanic Name],Table1[[#This Row],[Mechanic Name]]),"")</f>
        <v/>
      </c>
    </row>
    <row r="1824" spans="3:12" hidden="1" x14ac:dyDescent="0.35">
      <c r="C1824" s="80"/>
      <c r="K1824" s="81">
        <f>SUM(Table1[[#This Row],[Technical Knowledge]:[Repeat job nahin aana]])/6</f>
        <v>0</v>
      </c>
      <c r="L1824" s="79" t="str">
        <f>IFERROR(AVERAGEIFS(Table1[Final Score],Table1[Month],Table1[[#This Row],[Month]],Table1[Year],Table1[[#This Row],[Year]],Table1[Mechanic Name],Table1[[#This Row],[Mechanic Name]]),"")</f>
        <v/>
      </c>
    </row>
    <row r="1825" spans="3:12" hidden="1" x14ac:dyDescent="0.35">
      <c r="C1825" s="80"/>
      <c r="K1825" s="81">
        <f>SUM(Table1[[#This Row],[Technical Knowledge]:[Repeat job nahin aana]])/6</f>
        <v>0</v>
      </c>
      <c r="L1825" s="79" t="str">
        <f>IFERROR(AVERAGEIFS(Table1[Final Score],Table1[Month],Table1[[#This Row],[Month]],Table1[Year],Table1[[#This Row],[Year]],Table1[Mechanic Name],Table1[[#This Row],[Mechanic Name]]),"")</f>
        <v/>
      </c>
    </row>
    <row r="1826" spans="3:12" hidden="1" x14ac:dyDescent="0.35">
      <c r="C1826" s="80"/>
      <c r="K1826" s="81">
        <f>SUM(Table1[[#This Row],[Technical Knowledge]:[Repeat job nahin aana]])/6</f>
        <v>0</v>
      </c>
      <c r="L1826" s="79" t="str">
        <f>IFERROR(AVERAGEIFS(Table1[Final Score],Table1[Month],Table1[[#This Row],[Month]],Table1[Year],Table1[[#This Row],[Year]],Table1[Mechanic Name],Table1[[#This Row],[Mechanic Name]]),"")</f>
        <v/>
      </c>
    </row>
    <row r="1827" spans="3:12" hidden="1" x14ac:dyDescent="0.35">
      <c r="C1827" s="80"/>
      <c r="K1827" s="81">
        <f>SUM(Table1[[#This Row],[Technical Knowledge]:[Repeat job nahin aana]])/6</f>
        <v>0</v>
      </c>
      <c r="L1827" s="79" t="str">
        <f>IFERROR(AVERAGEIFS(Table1[Final Score],Table1[Month],Table1[[#This Row],[Month]],Table1[Year],Table1[[#This Row],[Year]],Table1[Mechanic Name],Table1[[#This Row],[Mechanic Name]]),"")</f>
        <v/>
      </c>
    </row>
    <row r="1828" spans="3:12" hidden="1" x14ac:dyDescent="0.35">
      <c r="C1828" s="80"/>
      <c r="K1828" s="81">
        <f>SUM(Table1[[#This Row],[Technical Knowledge]:[Repeat job nahin aana]])/6</f>
        <v>0</v>
      </c>
      <c r="L1828" s="79" t="str">
        <f>IFERROR(AVERAGEIFS(Table1[Final Score],Table1[Month],Table1[[#This Row],[Month]],Table1[Year],Table1[[#This Row],[Year]],Table1[Mechanic Name],Table1[[#This Row],[Mechanic Name]]),"")</f>
        <v/>
      </c>
    </row>
    <row r="1829" spans="3:12" hidden="1" x14ac:dyDescent="0.35">
      <c r="C1829" s="80"/>
      <c r="K1829" s="81">
        <f>SUM(Table1[[#This Row],[Technical Knowledge]:[Repeat job nahin aana]])/6</f>
        <v>0</v>
      </c>
      <c r="L1829" s="79" t="str">
        <f>IFERROR(AVERAGEIFS(Table1[Final Score],Table1[Month],Table1[[#This Row],[Month]],Table1[Year],Table1[[#This Row],[Year]],Table1[Mechanic Name],Table1[[#This Row],[Mechanic Name]]),"")</f>
        <v/>
      </c>
    </row>
    <row r="1830" spans="3:12" hidden="1" x14ac:dyDescent="0.35">
      <c r="C1830" s="80"/>
      <c r="K1830" s="81">
        <f>SUM(Table1[[#This Row],[Technical Knowledge]:[Repeat job nahin aana]])/6</f>
        <v>0</v>
      </c>
      <c r="L1830" s="79" t="str">
        <f>IFERROR(AVERAGEIFS(Table1[Final Score],Table1[Month],Table1[[#This Row],[Month]],Table1[Year],Table1[[#This Row],[Year]],Table1[Mechanic Name],Table1[[#This Row],[Mechanic Name]]),"")</f>
        <v/>
      </c>
    </row>
    <row r="1831" spans="3:12" hidden="1" x14ac:dyDescent="0.35">
      <c r="C1831" s="80"/>
      <c r="K1831" s="81">
        <f>SUM(Table1[[#This Row],[Technical Knowledge]:[Repeat job nahin aana]])/6</f>
        <v>0</v>
      </c>
      <c r="L1831" s="79" t="str">
        <f>IFERROR(AVERAGEIFS(Table1[Final Score],Table1[Month],Table1[[#This Row],[Month]],Table1[Year],Table1[[#This Row],[Year]],Table1[Mechanic Name],Table1[[#This Row],[Mechanic Name]]),"")</f>
        <v/>
      </c>
    </row>
    <row r="1832" spans="3:12" hidden="1" x14ac:dyDescent="0.35">
      <c r="C1832" s="80"/>
      <c r="K1832" s="81">
        <f>SUM(Table1[[#This Row],[Technical Knowledge]:[Repeat job nahin aana]])/6</f>
        <v>0</v>
      </c>
      <c r="L1832" s="79" t="str">
        <f>IFERROR(AVERAGEIFS(Table1[Final Score],Table1[Month],Table1[[#This Row],[Month]],Table1[Year],Table1[[#This Row],[Year]],Table1[Mechanic Name],Table1[[#This Row],[Mechanic Name]]),"")</f>
        <v/>
      </c>
    </row>
    <row r="1833" spans="3:12" hidden="1" x14ac:dyDescent="0.35">
      <c r="C1833" s="80"/>
      <c r="K1833" s="81">
        <f>SUM(Table1[[#This Row],[Technical Knowledge]:[Repeat job nahin aana]])/6</f>
        <v>0</v>
      </c>
      <c r="L1833" s="79" t="str">
        <f>IFERROR(AVERAGEIFS(Table1[Final Score],Table1[Month],Table1[[#This Row],[Month]],Table1[Year],Table1[[#This Row],[Year]],Table1[Mechanic Name],Table1[[#This Row],[Mechanic Name]]),"")</f>
        <v/>
      </c>
    </row>
    <row r="1834" spans="3:12" hidden="1" x14ac:dyDescent="0.35">
      <c r="C1834" s="80"/>
      <c r="K1834" s="81">
        <f>SUM(Table1[[#This Row],[Technical Knowledge]:[Repeat job nahin aana]])/6</f>
        <v>0</v>
      </c>
      <c r="L1834" s="79" t="str">
        <f>IFERROR(AVERAGEIFS(Table1[Final Score],Table1[Month],Table1[[#This Row],[Month]],Table1[Year],Table1[[#This Row],[Year]],Table1[Mechanic Name],Table1[[#This Row],[Mechanic Name]]),"")</f>
        <v/>
      </c>
    </row>
    <row r="1835" spans="3:12" hidden="1" x14ac:dyDescent="0.35">
      <c r="C1835" s="80"/>
      <c r="K1835" s="81">
        <f>SUM(Table1[[#This Row],[Technical Knowledge]:[Repeat job nahin aana]])/6</f>
        <v>0</v>
      </c>
      <c r="L1835" s="79" t="str">
        <f>IFERROR(AVERAGEIFS(Table1[Final Score],Table1[Month],Table1[[#This Row],[Month]],Table1[Year],Table1[[#This Row],[Year]],Table1[Mechanic Name],Table1[[#This Row],[Mechanic Name]]),"")</f>
        <v/>
      </c>
    </row>
    <row r="1836" spans="3:12" hidden="1" x14ac:dyDescent="0.35">
      <c r="C1836" s="80"/>
      <c r="K1836" s="81">
        <f>SUM(Table1[[#This Row],[Technical Knowledge]:[Repeat job nahin aana]])/6</f>
        <v>0</v>
      </c>
      <c r="L1836" s="79" t="str">
        <f>IFERROR(AVERAGEIFS(Table1[Final Score],Table1[Month],Table1[[#This Row],[Month]],Table1[Year],Table1[[#This Row],[Year]],Table1[Mechanic Name],Table1[[#This Row],[Mechanic Name]]),"")</f>
        <v/>
      </c>
    </row>
    <row r="1837" spans="3:12" hidden="1" x14ac:dyDescent="0.35">
      <c r="C1837" s="80"/>
      <c r="K1837" s="81">
        <f>SUM(Table1[[#This Row],[Technical Knowledge]:[Repeat job nahin aana]])/6</f>
        <v>0</v>
      </c>
      <c r="L1837" s="79" t="str">
        <f>IFERROR(AVERAGEIFS(Table1[Final Score],Table1[Month],Table1[[#This Row],[Month]],Table1[Year],Table1[[#This Row],[Year]],Table1[Mechanic Name],Table1[[#This Row],[Mechanic Name]]),"")</f>
        <v/>
      </c>
    </row>
    <row r="1838" spans="3:12" hidden="1" x14ac:dyDescent="0.35">
      <c r="C1838" s="80"/>
      <c r="K1838" s="81">
        <f>SUM(Table1[[#This Row],[Technical Knowledge]:[Repeat job nahin aana]])/6</f>
        <v>0</v>
      </c>
      <c r="L1838" s="79" t="str">
        <f>IFERROR(AVERAGEIFS(Table1[Final Score],Table1[Month],Table1[[#This Row],[Month]],Table1[Year],Table1[[#This Row],[Year]],Table1[Mechanic Name],Table1[[#This Row],[Mechanic Name]]),"")</f>
        <v/>
      </c>
    </row>
    <row r="1839" spans="3:12" hidden="1" x14ac:dyDescent="0.35">
      <c r="C1839" s="80"/>
      <c r="K1839" s="81">
        <f>SUM(Table1[[#This Row],[Technical Knowledge]:[Repeat job nahin aana]])/6</f>
        <v>0</v>
      </c>
      <c r="L1839" s="79" t="str">
        <f>IFERROR(AVERAGEIFS(Table1[Final Score],Table1[Month],Table1[[#This Row],[Month]],Table1[Year],Table1[[#This Row],[Year]],Table1[Mechanic Name],Table1[[#This Row],[Mechanic Name]]),"")</f>
        <v/>
      </c>
    </row>
    <row r="1840" spans="3:12" hidden="1" x14ac:dyDescent="0.35">
      <c r="C1840" s="80"/>
      <c r="K1840" s="81">
        <f>SUM(Table1[[#This Row],[Technical Knowledge]:[Repeat job nahin aana]])/6</f>
        <v>0</v>
      </c>
      <c r="L1840" s="79" t="str">
        <f>IFERROR(AVERAGEIFS(Table1[Final Score],Table1[Month],Table1[[#This Row],[Month]],Table1[Year],Table1[[#This Row],[Year]],Table1[Mechanic Name],Table1[[#This Row],[Mechanic Name]]),"")</f>
        <v/>
      </c>
    </row>
    <row r="1841" spans="3:12" hidden="1" x14ac:dyDescent="0.35">
      <c r="C1841" s="80"/>
      <c r="K1841" s="81">
        <f>SUM(Table1[[#This Row],[Technical Knowledge]:[Repeat job nahin aana]])/6</f>
        <v>0</v>
      </c>
      <c r="L1841" s="79" t="str">
        <f>IFERROR(AVERAGEIFS(Table1[Final Score],Table1[Month],Table1[[#This Row],[Month]],Table1[Year],Table1[[#This Row],[Year]],Table1[Mechanic Name],Table1[[#This Row],[Mechanic Name]]),"")</f>
        <v/>
      </c>
    </row>
    <row r="1842" spans="3:12" hidden="1" x14ac:dyDescent="0.35">
      <c r="C1842" s="80"/>
      <c r="K1842" s="81">
        <f>SUM(Table1[[#This Row],[Technical Knowledge]:[Repeat job nahin aana]])/6</f>
        <v>0</v>
      </c>
      <c r="L1842" s="79" t="str">
        <f>IFERROR(AVERAGEIFS(Table1[Final Score],Table1[Month],Table1[[#This Row],[Month]],Table1[Year],Table1[[#This Row],[Year]],Table1[Mechanic Name],Table1[[#This Row],[Mechanic Name]]),"")</f>
        <v/>
      </c>
    </row>
    <row r="1843" spans="3:12" hidden="1" x14ac:dyDescent="0.35">
      <c r="C1843" s="80"/>
      <c r="K1843" s="81">
        <f>SUM(Table1[[#This Row],[Technical Knowledge]:[Repeat job nahin aana]])/6</f>
        <v>0</v>
      </c>
      <c r="L1843" s="79" t="str">
        <f>IFERROR(AVERAGEIFS(Table1[Final Score],Table1[Month],Table1[[#This Row],[Month]],Table1[Year],Table1[[#This Row],[Year]],Table1[Mechanic Name],Table1[[#This Row],[Mechanic Name]]),"")</f>
        <v/>
      </c>
    </row>
    <row r="1844" spans="3:12" hidden="1" x14ac:dyDescent="0.35">
      <c r="C1844" s="80"/>
      <c r="K1844" s="81">
        <f>SUM(Table1[[#This Row],[Technical Knowledge]:[Repeat job nahin aana]])/6</f>
        <v>0</v>
      </c>
      <c r="L1844" s="79" t="str">
        <f>IFERROR(AVERAGEIFS(Table1[Final Score],Table1[Month],Table1[[#This Row],[Month]],Table1[Year],Table1[[#This Row],[Year]],Table1[Mechanic Name],Table1[[#This Row],[Mechanic Name]]),"")</f>
        <v/>
      </c>
    </row>
    <row r="1845" spans="3:12" hidden="1" x14ac:dyDescent="0.35">
      <c r="C1845" s="80"/>
      <c r="K1845" s="81">
        <f>SUM(Table1[[#This Row],[Technical Knowledge]:[Repeat job nahin aana]])/6</f>
        <v>0</v>
      </c>
      <c r="L1845" s="79" t="str">
        <f>IFERROR(AVERAGEIFS(Table1[Final Score],Table1[Month],Table1[[#This Row],[Month]],Table1[Year],Table1[[#This Row],[Year]],Table1[Mechanic Name],Table1[[#This Row],[Mechanic Name]]),"")</f>
        <v/>
      </c>
    </row>
    <row r="1846" spans="3:12" hidden="1" x14ac:dyDescent="0.35">
      <c r="C1846" s="80"/>
      <c r="K1846" s="81">
        <f>SUM(Table1[[#This Row],[Technical Knowledge]:[Repeat job nahin aana]])/6</f>
        <v>0</v>
      </c>
      <c r="L1846" s="79" t="str">
        <f>IFERROR(AVERAGEIFS(Table1[Final Score],Table1[Month],Table1[[#This Row],[Month]],Table1[Year],Table1[[#This Row],[Year]],Table1[Mechanic Name],Table1[[#This Row],[Mechanic Name]]),"")</f>
        <v/>
      </c>
    </row>
    <row r="1847" spans="3:12" hidden="1" x14ac:dyDescent="0.35">
      <c r="C1847" s="80"/>
      <c r="K1847" s="81">
        <f>SUM(Table1[[#This Row],[Technical Knowledge]:[Repeat job nahin aana]])/6</f>
        <v>0</v>
      </c>
      <c r="L1847" s="79" t="str">
        <f>IFERROR(AVERAGEIFS(Table1[Final Score],Table1[Month],Table1[[#This Row],[Month]],Table1[Year],Table1[[#This Row],[Year]],Table1[Mechanic Name],Table1[[#This Row],[Mechanic Name]]),"")</f>
        <v/>
      </c>
    </row>
    <row r="1848" spans="3:12" hidden="1" x14ac:dyDescent="0.35">
      <c r="C1848" s="80"/>
      <c r="K1848" s="81">
        <f>SUM(Table1[[#This Row],[Technical Knowledge]:[Repeat job nahin aana]])/6</f>
        <v>0</v>
      </c>
      <c r="L1848" s="79" t="str">
        <f>IFERROR(AVERAGEIFS(Table1[Final Score],Table1[Month],Table1[[#This Row],[Month]],Table1[Year],Table1[[#This Row],[Year]],Table1[Mechanic Name],Table1[[#This Row],[Mechanic Name]]),"")</f>
        <v/>
      </c>
    </row>
    <row r="1849" spans="3:12" hidden="1" x14ac:dyDescent="0.35">
      <c r="C1849" s="80"/>
      <c r="K1849" s="81">
        <f>SUM(Table1[[#This Row],[Technical Knowledge]:[Repeat job nahin aana]])/6</f>
        <v>0</v>
      </c>
      <c r="L1849" s="79" t="str">
        <f>IFERROR(AVERAGEIFS(Table1[Final Score],Table1[Month],Table1[[#This Row],[Month]],Table1[Year],Table1[[#This Row],[Year]],Table1[Mechanic Name],Table1[[#This Row],[Mechanic Name]]),"")</f>
        <v/>
      </c>
    </row>
    <row r="1850" spans="3:12" hidden="1" x14ac:dyDescent="0.35">
      <c r="C1850" s="80"/>
      <c r="K1850" s="81">
        <f>SUM(Table1[[#This Row],[Technical Knowledge]:[Repeat job nahin aana]])/6</f>
        <v>0</v>
      </c>
      <c r="L1850" s="79" t="str">
        <f>IFERROR(AVERAGEIFS(Table1[Final Score],Table1[Month],Table1[[#This Row],[Month]],Table1[Year],Table1[[#This Row],[Year]],Table1[Mechanic Name],Table1[[#This Row],[Mechanic Name]]),"")</f>
        <v/>
      </c>
    </row>
    <row r="1851" spans="3:12" hidden="1" x14ac:dyDescent="0.35">
      <c r="C1851" s="80"/>
      <c r="K1851" s="81">
        <f>SUM(Table1[[#This Row],[Technical Knowledge]:[Repeat job nahin aana]])/6</f>
        <v>0</v>
      </c>
      <c r="L1851" s="79" t="str">
        <f>IFERROR(AVERAGEIFS(Table1[Final Score],Table1[Month],Table1[[#This Row],[Month]],Table1[Year],Table1[[#This Row],[Year]],Table1[Mechanic Name],Table1[[#This Row],[Mechanic Name]]),"")</f>
        <v/>
      </c>
    </row>
    <row r="1852" spans="3:12" hidden="1" x14ac:dyDescent="0.35">
      <c r="C1852" s="80"/>
      <c r="K1852" s="81">
        <f>SUM(Table1[[#This Row],[Technical Knowledge]:[Repeat job nahin aana]])/6</f>
        <v>0</v>
      </c>
      <c r="L1852" s="79" t="str">
        <f>IFERROR(AVERAGEIFS(Table1[Final Score],Table1[Month],Table1[[#This Row],[Month]],Table1[Year],Table1[[#This Row],[Year]],Table1[Mechanic Name],Table1[[#This Row],[Mechanic Name]]),"")</f>
        <v/>
      </c>
    </row>
    <row r="1853" spans="3:12" hidden="1" x14ac:dyDescent="0.35">
      <c r="C1853" s="80"/>
      <c r="K1853" s="81">
        <f>SUM(Table1[[#This Row],[Technical Knowledge]:[Repeat job nahin aana]])/6</f>
        <v>0</v>
      </c>
      <c r="L1853" s="79" t="str">
        <f>IFERROR(AVERAGEIFS(Table1[Final Score],Table1[Month],Table1[[#This Row],[Month]],Table1[Year],Table1[[#This Row],[Year]],Table1[Mechanic Name],Table1[[#This Row],[Mechanic Name]]),"")</f>
        <v/>
      </c>
    </row>
    <row r="1854" spans="3:12" hidden="1" x14ac:dyDescent="0.35">
      <c r="C1854" s="80"/>
      <c r="K1854" s="81">
        <f>SUM(Table1[[#This Row],[Technical Knowledge]:[Repeat job nahin aana]])/6</f>
        <v>0</v>
      </c>
      <c r="L1854" s="79" t="str">
        <f>IFERROR(AVERAGEIFS(Table1[Final Score],Table1[Month],Table1[[#This Row],[Month]],Table1[Year],Table1[[#This Row],[Year]],Table1[Mechanic Name],Table1[[#This Row],[Mechanic Name]]),"")</f>
        <v/>
      </c>
    </row>
    <row r="1855" spans="3:12" hidden="1" x14ac:dyDescent="0.35">
      <c r="C1855" s="80"/>
      <c r="K1855" s="81">
        <f>SUM(Table1[[#This Row],[Technical Knowledge]:[Repeat job nahin aana]])/6</f>
        <v>0</v>
      </c>
      <c r="L1855" s="79" t="str">
        <f>IFERROR(AVERAGEIFS(Table1[Final Score],Table1[Month],Table1[[#This Row],[Month]],Table1[Year],Table1[[#This Row],[Year]],Table1[Mechanic Name],Table1[[#This Row],[Mechanic Name]]),"")</f>
        <v/>
      </c>
    </row>
    <row r="1856" spans="3:12" hidden="1" x14ac:dyDescent="0.35">
      <c r="C1856" s="80"/>
      <c r="K1856" s="81">
        <f>SUM(Table1[[#This Row],[Technical Knowledge]:[Repeat job nahin aana]])/6</f>
        <v>0</v>
      </c>
      <c r="L1856" s="79" t="str">
        <f>IFERROR(AVERAGEIFS(Table1[Final Score],Table1[Month],Table1[[#This Row],[Month]],Table1[Year],Table1[[#This Row],[Year]],Table1[Mechanic Name],Table1[[#This Row],[Mechanic Name]]),"")</f>
        <v/>
      </c>
    </row>
    <row r="1857" spans="3:12" hidden="1" x14ac:dyDescent="0.35">
      <c r="C1857" s="80"/>
      <c r="K1857" s="81">
        <f>SUM(Table1[[#This Row],[Technical Knowledge]:[Repeat job nahin aana]])/6</f>
        <v>0</v>
      </c>
      <c r="L1857" s="79" t="str">
        <f>IFERROR(AVERAGEIFS(Table1[Final Score],Table1[Month],Table1[[#This Row],[Month]],Table1[Year],Table1[[#This Row],[Year]],Table1[Mechanic Name],Table1[[#This Row],[Mechanic Name]]),"")</f>
        <v/>
      </c>
    </row>
    <row r="1858" spans="3:12" hidden="1" x14ac:dyDescent="0.35">
      <c r="C1858" s="80"/>
      <c r="K1858" s="81">
        <f>SUM(Table1[[#This Row],[Technical Knowledge]:[Repeat job nahin aana]])/6</f>
        <v>0</v>
      </c>
      <c r="L1858" s="79" t="str">
        <f>IFERROR(AVERAGEIFS(Table1[Final Score],Table1[Month],Table1[[#This Row],[Month]],Table1[Year],Table1[[#This Row],[Year]],Table1[Mechanic Name],Table1[[#This Row],[Mechanic Name]]),"")</f>
        <v/>
      </c>
    </row>
    <row r="1859" spans="3:12" hidden="1" x14ac:dyDescent="0.35">
      <c r="C1859" s="80"/>
      <c r="K1859" s="81">
        <f>SUM(Table1[[#This Row],[Technical Knowledge]:[Repeat job nahin aana]])/6</f>
        <v>0</v>
      </c>
      <c r="L1859" s="79" t="str">
        <f>IFERROR(AVERAGEIFS(Table1[Final Score],Table1[Month],Table1[[#This Row],[Month]],Table1[Year],Table1[[#This Row],[Year]],Table1[Mechanic Name],Table1[[#This Row],[Mechanic Name]]),"")</f>
        <v/>
      </c>
    </row>
    <row r="1860" spans="3:12" hidden="1" x14ac:dyDescent="0.35">
      <c r="C1860" s="80"/>
      <c r="K1860" s="81">
        <f>SUM(Table1[[#This Row],[Technical Knowledge]:[Repeat job nahin aana]])/6</f>
        <v>0</v>
      </c>
      <c r="L1860" s="79" t="str">
        <f>IFERROR(AVERAGEIFS(Table1[Final Score],Table1[Month],Table1[[#This Row],[Month]],Table1[Year],Table1[[#This Row],[Year]],Table1[Mechanic Name],Table1[[#This Row],[Mechanic Name]]),"")</f>
        <v/>
      </c>
    </row>
    <row r="1861" spans="3:12" hidden="1" x14ac:dyDescent="0.35">
      <c r="C1861" s="80"/>
      <c r="K1861" s="81">
        <f>SUM(Table1[[#This Row],[Technical Knowledge]:[Repeat job nahin aana]])/6</f>
        <v>0</v>
      </c>
      <c r="L1861" s="79" t="str">
        <f>IFERROR(AVERAGEIFS(Table1[Final Score],Table1[Month],Table1[[#This Row],[Month]],Table1[Year],Table1[[#This Row],[Year]],Table1[Mechanic Name],Table1[[#This Row],[Mechanic Name]]),"")</f>
        <v/>
      </c>
    </row>
    <row r="1862" spans="3:12" hidden="1" x14ac:dyDescent="0.35">
      <c r="C1862" s="80"/>
      <c r="K1862" s="81">
        <f>SUM(Table1[[#This Row],[Technical Knowledge]:[Repeat job nahin aana]])/6</f>
        <v>0</v>
      </c>
      <c r="L1862" s="79" t="str">
        <f>IFERROR(AVERAGEIFS(Table1[Final Score],Table1[Month],Table1[[#This Row],[Month]],Table1[Year],Table1[[#This Row],[Year]],Table1[Mechanic Name],Table1[[#This Row],[Mechanic Name]]),"")</f>
        <v/>
      </c>
    </row>
    <row r="1863" spans="3:12" hidden="1" x14ac:dyDescent="0.35">
      <c r="C1863" s="80"/>
      <c r="K1863" s="81">
        <f>SUM(Table1[[#This Row],[Technical Knowledge]:[Repeat job nahin aana]])/6</f>
        <v>0</v>
      </c>
      <c r="L1863" s="79" t="str">
        <f>IFERROR(AVERAGEIFS(Table1[Final Score],Table1[Month],Table1[[#This Row],[Month]],Table1[Year],Table1[[#This Row],[Year]],Table1[Mechanic Name],Table1[[#This Row],[Mechanic Name]]),"")</f>
        <v/>
      </c>
    </row>
    <row r="1864" spans="3:12" hidden="1" x14ac:dyDescent="0.35">
      <c r="C1864" s="80"/>
      <c r="K1864" s="81">
        <f>SUM(Table1[[#This Row],[Technical Knowledge]:[Repeat job nahin aana]])/6</f>
        <v>0</v>
      </c>
      <c r="L1864" s="79" t="str">
        <f>IFERROR(AVERAGEIFS(Table1[Final Score],Table1[Month],Table1[[#This Row],[Month]],Table1[Year],Table1[[#This Row],[Year]],Table1[Mechanic Name],Table1[[#This Row],[Mechanic Name]]),"")</f>
        <v/>
      </c>
    </row>
    <row r="1865" spans="3:12" hidden="1" x14ac:dyDescent="0.35">
      <c r="C1865" s="80"/>
      <c r="K1865" s="81">
        <f>SUM(Table1[[#This Row],[Technical Knowledge]:[Repeat job nahin aana]])/6</f>
        <v>0</v>
      </c>
      <c r="L1865" s="79" t="str">
        <f>IFERROR(AVERAGEIFS(Table1[Final Score],Table1[Month],Table1[[#This Row],[Month]],Table1[Year],Table1[[#This Row],[Year]],Table1[Mechanic Name],Table1[[#This Row],[Mechanic Name]]),"")</f>
        <v/>
      </c>
    </row>
    <row r="1866" spans="3:12" hidden="1" x14ac:dyDescent="0.35">
      <c r="C1866" s="80"/>
      <c r="K1866" s="81">
        <f>SUM(Table1[[#This Row],[Technical Knowledge]:[Repeat job nahin aana]])/6</f>
        <v>0</v>
      </c>
      <c r="L1866" s="79" t="str">
        <f>IFERROR(AVERAGEIFS(Table1[Final Score],Table1[Month],Table1[[#This Row],[Month]],Table1[Year],Table1[[#This Row],[Year]],Table1[Mechanic Name],Table1[[#This Row],[Mechanic Name]]),"")</f>
        <v/>
      </c>
    </row>
    <row r="1867" spans="3:12" hidden="1" x14ac:dyDescent="0.35">
      <c r="C1867" s="80"/>
      <c r="K1867" s="81">
        <f>SUM(Table1[[#This Row],[Technical Knowledge]:[Repeat job nahin aana]])/6</f>
        <v>0</v>
      </c>
      <c r="L1867" s="79" t="str">
        <f>IFERROR(AVERAGEIFS(Table1[Final Score],Table1[Month],Table1[[#This Row],[Month]],Table1[Year],Table1[[#This Row],[Year]],Table1[Mechanic Name],Table1[[#This Row],[Mechanic Name]]),"")</f>
        <v/>
      </c>
    </row>
    <row r="1868" spans="3:12" hidden="1" x14ac:dyDescent="0.35">
      <c r="C1868" s="80"/>
      <c r="K1868" s="81">
        <f>SUM(Table1[[#This Row],[Technical Knowledge]:[Repeat job nahin aana]])/6</f>
        <v>0</v>
      </c>
      <c r="L1868" s="79" t="str">
        <f>IFERROR(AVERAGEIFS(Table1[Final Score],Table1[Month],Table1[[#This Row],[Month]],Table1[Year],Table1[[#This Row],[Year]],Table1[Mechanic Name],Table1[[#This Row],[Mechanic Name]]),"")</f>
        <v/>
      </c>
    </row>
    <row r="1869" spans="3:12" hidden="1" x14ac:dyDescent="0.35">
      <c r="C1869" s="80"/>
      <c r="K1869" s="81">
        <f>SUM(Table1[[#This Row],[Technical Knowledge]:[Repeat job nahin aana]])/6</f>
        <v>0</v>
      </c>
      <c r="L1869" s="79" t="str">
        <f>IFERROR(AVERAGEIFS(Table1[Final Score],Table1[Month],Table1[[#This Row],[Month]],Table1[Year],Table1[[#This Row],[Year]],Table1[Mechanic Name],Table1[[#This Row],[Mechanic Name]]),"")</f>
        <v/>
      </c>
    </row>
    <row r="1870" spans="3:12" hidden="1" x14ac:dyDescent="0.35">
      <c r="C1870" s="80"/>
      <c r="K1870" s="81">
        <f>SUM(Table1[[#This Row],[Technical Knowledge]:[Repeat job nahin aana]])/6</f>
        <v>0</v>
      </c>
      <c r="L1870" s="79" t="str">
        <f>IFERROR(AVERAGEIFS(Table1[Final Score],Table1[Month],Table1[[#This Row],[Month]],Table1[Year],Table1[[#This Row],[Year]],Table1[Mechanic Name],Table1[[#This Row],[Mechanic Name]]),"")</f>
        <v/>
      </c>
    </row>
    <row r="1871" spans="3:12" hidden="1" x14ac:dyDescent="0.35">
      <c r="C1871" s="80"/>
      <c r="K1871" s="81">
        <f>SUM(Table1[[#This Row],[Technical Knowledge]:[Repeat job nahin aana]])/6</f>
        <v>0</v>
      </c>
      <c r="L1871" s="79" t="str">
        <f>IFERROR(AVERAGEIFS(Table1[Final Score],Table1[Month],Table1[[#This Row],[Month]],Table1[Year],Table1[[#This Row],[Year]],Table1[Mechanic Name],Table1[[#This Row],[Mechanic Name]]),"")</f>
        <v/>
      </c>
    </row>
    <row r="1872" spans="3:12" hidden="1" x14ac:dyDescent="0.35">
      <c r="C1872" s="80"/>
      <c r="K1872" s="81">
        <f>SUM(Table1[[#This Row],[Technical Knowledge]:[Repeat job nahin aana]])/6</f>
        <v>0</v>
      </c>
      <c r="L1872" s="79" t="str">
        <f>IFERROR(AVERAGEIFS(Table1[Final Score],Table1[Month],Table1[[#This Row],[Month]],Table1[Year],Table1[[#This Row],[Year]],Table1[Mechanic Name],Table1[[#This Row],[Mechanic Name]]),"")</f>
        <v/>
      </c>
    </row>
    <row r="1873" spans="3:12" hidden="1" x14ac:dyDescent="0.35">
      <c r="C1873" s="80"/>
      <c r="K1873" s="81">
        <f>SUM(Table1[[#This Row],[Technical Knowledge]:[Repeat job nahin aana]])/6</f>
        <v>0</v>
      </c>
      <c r="L1873" s="79" t="str">
        <f>IFERROR(AVERAGEIFS(Table1[Final Score],Table1[Month],Table1[[#This Row],[Month]],Table1[Year],Table1[[#This Row],[Year]],Table1[Mechanic Name],Table1[[#This Row],[Mechanic Name]]),"")</f>
        <v/>
      </c>
    </row>
    <row r="1874" spans="3:12" hidden="1" x14ac:dyDescent="0.35">
      <c r="C1874" s="80"/>
      <c r="K1874" s="81">
        <f>SUM(Table1[[#This Row],[Technical Knowledge]:[Repeat job nahin aana]])/6</f>
        <v>0</v>
      </c>
      <c r="L1874" s="79" t="str">
        <f>IFERROR(AVERAGEIFS(Table1[Final Score],Table1[Month],Table1[[#This Row],[Month]],Table1[Year],Table1[[#This Row],[Year]],Table1[Mechanic Name],Table1[[#This Row],[Mechanic Name]]),"")</f>
        <v/>
      </c>
    </row>
    <row r="1875" spans="3:12" hidden="1" x14ac:dyDescent="0.35">
      <c r="C1875" s="80"/>
      <c r="K1875" s="81">
        <f>SUM(Table1[[#This Row],[Technical Knowledge]:[Repeat job nahin aana]])/6</f>
        <v>0</v>
      </c>
      <c r="L1875" s="79" t="str">
        <f>IFERROR(AVERAGEIFS(Table1[Final Score],Table1[Month],Table1[[#This Row],[Month]],Table1[Year],Table1[[#This Row],[Year]],Table1[Mechanic Name],Table1[[#This Row],[Mechanic Name]]),"")</f>
        <v/>
      </c>
    </row>
    <row r="1876" spans="3:12" hidden="1" x14ac:dyDescent="0.35">
      <c r="C1876" s="80"/>
      <c r="K1876" s="81">
        <f>SUM(Table1[[#This Row],[Technical Knowledge]:[Repeat job nahin aana]])/6</f>
        <v>0</v>
      </c>
      <c r="L1876" s="79" t="str">
        <f>IFERROR(AVERAGEIFS(Table1[Final Score],Table1[Month],Table1[[#This Row],[Month]],Table1[Year],Table1[[#This Row],[Year]],Table1[Mechanic Name],Table1[[#This Row],[Mechanic Name]]),"")</f>
        <v/>
      </c>
    </row>
    <row r="1877" spans="3:12" hidden="1" x14ac:dyDescent="0.35">
      <c r="C1877" s="80"/>
      <c r="K1877" s="81">
        <f>SUM(Table1[[#This Row],[Technical Knowledge]:[Repeat job nahin aana]])/6</f>
        <v>0</v>
      </c>
      <c r="L1877" s="79" t="str">
        <f>IFERROR(AVERAGEIFS(Table1[Final Score],Table1[Month],Table1[[#This Row],[Month]],Table1[Year],Table1[[#This Row],[Year]],Table1[Mechanic Name],Table1[[#This Row],[Mechanic Name]]),"")</f>
        <v/>
      </c>
    </row>
    <row r="1878" spans="3:12" hidden="1" x14ac:dyDescent="0.35">
      <c r="C1878" s="80"/>
      <c r="K1878" s="81">
        <f>SUM(Table1[[#This Row],[Technical Knowledge]:[Repeat job nahin aana]])/6</f>
        <v>0</v>
      </c>
      <c r="L1878" s="79" t="str">
        <f>IFERROR(AVERAGEIFS(Table1[Final Score],Table1[Month],Table1[[#This Row],[Month]],Table1[Year],Table1[[#This Row],[Year]],Table1[Mechanic Name],Table1[[#This Row],[Mechanic Name]]),"")</f>
        <v/>
      </c>
    </row>
    <row r="1879" spans="3:12" hidden="1" x14ac:dyDescent="0.35">
      <c r="C1879" s="80"/>
      <c r="K1879" s="81">
        <f>SUM(Table1[[#This Row],[Technical Knowledge]:[Repeat job nahin aana]])/6</f>
        <v>0</v>
      </c>
      <c r="L1879" s="79" t="str">
        <f>IFERROR(AVERAGEIFS(Table1[Final Score],Table1[Month],Table1[[#This Row],[Month]],Table1[Year],Table1[[#This Row],[Year]],Table1[Mechanic Name],Table1[[#This Row],[Mechanic Name]]),"")</f>
        <v/>
      </c>
    </row>
    <row r="1880" spans="3:12" hidden="1" x14ac:dyDescent="0.35">
      <c r="C1880" s="80"/>
      <c r="K1880" s="81">
        <f>SUM(Table1[[#This Row],[Technical Knowledge]:[Repeat job nahin aana]])/6</f>
        <v>0</v>
      </c>
      <c r="L1880" s="79" t="str">
        <f>IFERROR(AVERAGEIFS(Table1[Final Score],Table1[Month],Table1[[#This Row],[Month]],Table1[Year],Table1[[#This Row],[Year]],Table1[Mechanic Name],Table1[[#This Row],[Mechanic Name]]),"")</f>
        <v/>
      </c>
    </row>
    <row r="1881" spans="3:12" hidden="1" x14ac:dyDescent="0.35">
      <c r="C1881" s="80"/>
      <c r="K1881" s="81">
        <f>SUM(Table1[[#This Row],[Technical Knowledge]:[Repeat job nahin aana]])/6</f>
        <v>0</v>
      </c>
      <c r="L1881" s="79" t="str">
        <f>IFERROR(AVERAGEIFS(Table1[Final Score],Table1[Month],Table1[[#This Row],[Month]],Table1[Year],Table1[[#This Row],[Year]],Table1[Mechanic Name],Table1[[#This Row],[Mechanic Name]]),"")</f>
        <v/>
      </c>
    </row>
    <row r="1882" spans="3:12" hidden="1" x14ac:dyDescent="0.35">
      <c r="C1882" s="80"/>
      <c r="K1882" s="81">
        <f>SUM(Table1[[#This Row],[Technical Knowledge]:[Repeat job nahin aana]])/6</f>
        <v>0</v>
      </c>
      <c r="L1882" s="79" t="str">
        <f>IFERROR(AVERAGEIFS(Table1[Final Score],Table1[Month],Table1[[#This Row],[Month]],Table1[Year],Table1[[#This Row],[Year]],Table1[Mechanic Name],Table1[[#This Row],[Mechanic Name]]),"")</f>
        <v/>
      </c>
    </row>
    <row r="1883" spans="3:12" hidden="1" x14ac:dyDescent="0.35">
      <c r="C1883" s="80"/>
      <c r="K1883" s="81">
        <f>SUM(Table1[[#This Row],[Technical Knowledge]:[Repeat job nahin aana]])/6</f>
        <v>0</v>
      </c>
      <c r="L1883" s="79" t="str">
        <f>IFERROR(AVERAGEIFS(Table1[Final Score],Table1[Month],Table1[[#This Row],[Month]],Table1[Year],Table1[[#This Row],[Year]],Table1[Mechanic Name],Table1[[#This Row],[Mechanic Name]]),"")</f>
        <v/>
      </c>
    </row>
    <row r="1884" spans="3:12" hidden="1" x14ac:dyDescent="0.35">
      <c r="C1884" s="80"/>
      <c r="K1884" s="81">
        <f>SUM(Table1[[#This Row],[Technical Knowledge]:[Repeat job nahin aana]])/6</f>
        <v>0</v>
      </c>
      <c r="L1884" s="79" t="str">
        <f>IFERROR(AVERAGEIFS(Table1[Final Score],Table1[Month],Table1[[#This Row],[Month]],Table1[Year],Table1[[#This Row],[Year]],Table1[Mechanic Name],Table1[[#This Row],[Mechanic Name]]),"")</f>
        <v/>
      </c>
    </row>
    <row r="1885" spans="3:12" hidden="1" x14ac:dyDescent="0.35">
      <c r="C1885" s="80"/>
      <c r="K1885" s="81">
        <f>SUM(Table1[[#This Row],[Technical Knowledge]:[Repeat job nahin aana]])/6</f>
        <v>0</v>
      </c>
      <c r="L1885" s="79" t="str">
        <f>IFERROR(AVERAGEIFS(Table1[Final Score],Table1[Month],Table1[[#This Row],[Month]],Table1[Year],Table1[[#This Row],[Year]],Table1[Mechanic Name],Table1[[#This Row],[Mechanic Name]]),"")</f>
        <v/>
      </c>
    </row>
    <row r="1886" spans="3:12" hidden="1" x14ac:dyDescent="0.35">
      <c r="C1886" s="80"/>
      <c r="K1886" s="81">
        <f>SUM(Table1[[#This Row],[Technical Knowledge]:[Repeat job nahin aana]])/6</f>
        <v>0</v>
      </c>
      <c r="L1886" s="79" t="str">
        <f>IFERROR(AVERAGEIFS(Table1[Final Score],Table1[Month],Table1[[#This Row],[Month]],Table1[Year],Table1[[#This Row],[Year]],Table1[Mechanic Name],Table1[[#This Row],[Mechanic Name]]),"")</f>
        <v/>
      </c>
    </row>
    <row r="1887" spans="3:12" hidden="1" x14ac:dyDescent="0.35">
      <c r="C1887" s="80"/>
      <c r="K1887" s="81">
        <f>SUM(Table1[[#This Row],[Technical Knowledge]:[Repeat job nahin aana]])/6</f>
        <v>0</v>
      </c>
      <c r="L1887" s="79" t="str">
        <f>IFERROR(AVERAGEIFS(Table1[Final Score],Table1[Month],Table1[[#This Row],[Month]],Table1[Year],Table1[[#This Row],[Year]],Table1[Mechanic Name],Table1[[#This Row],[Mechanic Name]]),"")</f>
        <v/>
      </c>
    </row>
    <row r="1888" spans="3:12" hidden="1" x14ac:dyDescent="0.35">
      <c r="C1888" s="80"/>
      <c r="K1888" s="81">
        <f>SUM(Table1[[#This Row],[Technical Knowledge]:[Repeat job nahin aana]])/6</f>
        <v>0</v>
      </c>
      <c r="L1888" s="79" t="str">
        <f>IFERROR(AVERAGEIFS(Table1[Final Score],Table1[Month],Table1[[#This Row],[Month]],Table1[Year],Table1[[#This Row],[Year]],Table1[Mechanic Name],Table1[[#This Row],[Mechanic Name]]),"")</f>
        <v/>
      </c>
    </row>
    <row r="1889" spans="3:12" hidden="1" x14ac:dyDescent="0.35">
      <c r="C1889" s="80"/>
      <c r="K1889" s="81">
        <f>SUM(Table1[[#This Row],[Technical Knowledge]:[Repeat job nahin aana]])/6</f>
        <v>0</v>
      </c>
      <c r="L1889" s="79" t="str">
        <f>IFERROR(AVERAGEIFS(Table1[Final Score],Table1[Month],Table1[[#This Row],[Month]],Table1[Year],Table1[[#This Row],[Year]],Table1[Mechanic Name],Table1[[#This Row],[Mechanic Name]]),"")</f>
        <v/>
      </c>
    </row>
    <row r="1890" spans="3:12" hidden="1" x14ac:dyDescent="0.35">
      <c r="C1890" s="80"/>
      <c r="K1890" s="81">
        <f>SUM(Table1[[#This Row],[Technical Knowledge]:[Repeat job nahin aana]])/6</f>
        <v>0</v>
      </c>
      <c r="L1890" s="79" t="str">
        <f>IFERROR(AVERAGEIFS(Table1[Final Score],Table1[Month],Table1[[#This Row],[Month]],Table1[Year],Table1[[#This Row],[Year]],Table1[Mechanic Name],Table1[[#This Row],[Mechanic Name]]),"")</f>
        <v/>
      </c>
    </row>
    <row r="1891" spans="3:12" hidden="1" x14ac:dyDescent="0.35">
      <c r="C1891" s="80"/>
      <c r="K1891" s="81">
        <f>SUM(Table1[[#This Row],[Technical Knowledge]:[Repeat job nahin aana]])/6</f>
        <v>0</v>
      </c>
      <c r="L1891" s="79" t="str">
        <f>IFERROR(AVERAGEIFS(Table1[Final Score],Table1[Month],Table1[[#This Row],[Month]],Table1[Year],Table1[[#This Row],[Year]],Table1[Mechanic Name],Table1[[#This Row],[Mechanic Name]]),"")</f>
        <v/>
      </c>
    </row>
    <row r="1892" spans="3:12" hidden="1" x14ac:dyDescent="0.35">
      <c r="C1892" s="80"/>
      <c r="K1892" s="81">
        <f>SUM(Table1[[#This Row],[Technical Knowledge]:[Repeat job nahin aana]])/6</f>
        <v>0</v>
      </c>
      <c r="L1892" s="79" t="str">
        <f>IFERROR(AVERAGEIFS(Table1[Final Score],Table1[Month],Table1[[#This Row],[Month]],Table1[Year],Table1[[#This Row],[Year]],Table1[Mechanic Name],Table1[[#This Row],[Mechanic Name]]),"")</f>
        <v/>
      </c>
    </row>
    <row r="1893" spans="3:12" hidden="1" x14ac:dyDescent="0.35">
      <c r="C1893" s="80"/>
      <c r="K1893" s="81">
        <f>SUM(Table1[[#This Row],[Technical Knowledge]:[Repeat job nahin aana]])/6</f>
        <v>0</v>
      </c>
      <c r="L1893" s="79" t="str">
        <f>IFERROR(AVERAGEIFS(Table1[Final Score],Table1[Month],Table1[[#This Row],[Month]],Table1[Year],Table1[[#This Row],[Year]],Table1[Mechanic Name],Table1[[#This Row],[Mechanic Name]]),"")</f>
        <v/>
      </c>
    </row>
    <row r="1894" spans="3:12" hidden="1" x14ac:dyDescent="0.35">
      <c r="C1894" s="80"/>
      <c r="K1894" s="81">
        <f>SUM(Table1[[#This Row],[Technical Knowledge]:[Repeat job nahin aana]])/6</f>
        <v>0</v>
      </c>
      <c r="L1894" s="79" t="str">
        <f>IFERROR(AVERAGEIFS(Table1[Final Score],Table1[Month],Table1[[#This Row],[Month]],Table1[Year],Table1[[#This Row],[Year]],Table1[Mechanic Name],Table1[[#This Row],[Mechanic Name]]),"")</f>
        <v/>
      </c>
    </row>
    <row r="1895" spans="3:12" hidden="1" x14ac:dyDescent="0.35">
      <c r="C1895" s="80"/>
      <c r="K1895" s="81">
        <f>SUM(Table1[[#This Row],[Technical Knowledge]:[Repeat job nahin aana]])/6</f>
        <v>0</v>
      </c>
      <c r="L1895" s="79" t="str">
        <f>IFERROR(AVERAGEIFS(Table1[Final Score],Table1[Month],Table1[[#This Row],[Month]],Table1[Year],Table1[[#This Row],[Year]],Table1[Mechanic Name],Table1[[#This Row],[Mechanic Name]]),"")</f>
        <v/>
      </c>
    </row>
    <row r="1896" spans="3:12" hidden="1" x14ac:dyDescent="0.35">
      <c r="C1896" s="80"/>
      <c r="K1896" s="81">
        <f>SUM(Table1[[#This Row],[Technical Knowledge]:[Repeat job nahin aana]])/6</f>
        <v>0</v>
      </c>
      <c r="L1896" s="79" t="str">
        <f>IFERROR(AVERAGEIFS(Table1[Final Score],Table1[Month],Table1[[#This Row],[Month]],Table1[Year],Table1[[#This Row],[Year]],Table1[Mechanic Name],Table1[[#This Row],[Mechanic Name]]),"")</f>
        <v/>
      </c>
    </row>
    <row r="1897" spans="3:12" hidden="1" x14ac:dyDescent="0.35">
      <c r="C1897" s="80"/>
      <c r="K1897" s="81">
        <f>SUM(Table1[[#This Row],[Technical Knowledge]:[Repeat job nahin aana]])/6</f>
        <v>0</v>
      </c>
      <c r="L1897" s="79" t="str">
        <f>IFERROR(AVERAGEIFS(Table1[Final Score],Table1[Month],Table1[[#This Row],[Month]],Table1[Year],Table1[[#This Row],[Year]],Table1[Mechanic Name],Table1[[#This Row],[Mechanic Name]]),"")</f>
        <v/>
      </c>
    </row>
    <row r="1898" spans="3:12" hidden="1" x14ac:dyDescent="0.35">
      <c r="C1898" s="80"/>
      <c r="K1898" s="81">
        <f>SUM(Table1[[#This Row],[Technical Knowledge]:[Repeat job nahin aana]])/6</f>
        <v>0</v>
      </c>
      <c r="L1898" s="79" t="str">
        <f>IFERROR(AVERAGEIFS(Table1[Final Score],Table1[Month],Table1[[#This Row],[Month]],Table1[Year],Table1[[#This Row],[Year]],Table1[Mechanic Name],Table1[[#This Row],[Mechanic Name]]),"")</f>
        <v/>
      </c>
    </row>
    <row r="1899" spans="3:12" hidden="1" x14ac:dyDescent="0.35">
      <c r="C1899" s="80"/>
      <c r="K1899" s="81">
        <f>SUM(Table1[[#This Row],[Technical Knowledge]:[Repeat job nahin aana]])/6</f>
        <v>0</v>
      </c>
      <c r="L1899" s="79" t="str">
        <f>IFERROR(AVERAGEIFS(Table1[Final Score],Table1[Month],Table1[[#This Row],[Month]],Table1[Year],Table1[[#This Row],[Year]],Table1[Mechanic Name],Table1[[#This Row],[Mechanic Name]]),"")</f>
        <v/>
      </c>
    </row>
    <row r="1900" spans="3:12" hidden="1" x14ac:dyDescent="0.35">
      <c r="C1900" s="80"/>
      <c r="K1900" s="81">
        <f>SUM(Table1[[#This Row],[Technical Knowledge]:[Repeat job nahin aana]])/6</f>
        <v>0</v>
      </c>
      <c r="L1900" s="79" t="str">
        <f>IFERROR(AVERAGEIFS(Table1[Final Score],Table1[Month],Table1[[#This Row],[Month]],Table1[Year],Table1[[#This Row],[Year]],Table1[Mechanic Name],Table1[[#This Row],[Mechanic Name]]),"")</f>
        <v/>
      </c>
    </row>
    <row r="1901" spans="3:12" hidden="1" x14ac:dyDescent="0.35">
      <c r="C1901" s="80"/>
      <c r="K1901" s="81">
        <f>SUM(Table1[[#This Row],[Technical Knowledge]:[Repeat job nahin aana]])/6</f>
        <v>0</v>
      </c>
      <c r="L1901" s="79" t="str">
        <f>IFERROR(AVERAGEIFS(Table1[Final Score],Table1[Month],Table1[[#This Row],[Month]],Table1[Year],Table1[[#This Row],[Year]],Table1[Mechanic Name],Table1[[#This Row],[Mechanic Name]]),"")</f>
        <v/>
      </c>
    </row>
    <row r="1902" spans="3:12" hidden="1" x14ac:dyDescent="0.35">
      <c r="C1902" s="80"/>
      <c r="K1902" s="81">
        <f>SUM(Table1[[#This Row],[Technical Knowledge]:[Repeat job nahin aana]])/6</f>
        <v>0</v>
      </c>
      <c r="L1902" s="79" t="str">
        <f>IFERROR(AVERAGEIFS(Table1[Final Score],Table1[Month],Table1[[#This Row],[Month]],Table1[Year],Table1[[#This Row],[Year]],Table1[Mechanic Name],Table1[[#This Row],[Mechanic Name]]),"")</f>
        <v/>
      </c>
    </row>
    <row r="1903" spans="3:12" hidden="1" x14ac:dyDescent="0.35">
      <c r="C1903" s="80"/>
      <c r="K1903" s="81">
        <f>SUM(Table1[[#This Row],[Technical Knowledge]:[Repeat job nahin aana]])/6</f>
        <v>0</v>
      </c>
      <c r="L1903" s="79" t="str">
        <f>IFERROR(AVERAGEIFS(Table1[Final Score],Table1[Month],Table1[[#This Row],[Month]],Table1[Year],Table1[[#This Row],[Year]],Table1[Mechanic Name],Table1[[#This Row],[Mechanic Name]]),"")</f>
        <v/>
      </c>
    </row>
    <row r="1904" spans="3:12" hidden="1" x14ac:dyDescent="0.35">
      <c r="C1904" s="80"/>
      <c r="K1904" s="81">
        <f>SUM(Table1[[#This Row],[Technical Knowledge]:[Repeat job nahin aana]])/6</f>
        <v>0</v>
      </c>
      <c r="L1904" s="79" t="str">
        <f>IFERROR(AVERAGEIFS(Table1[Final Score],Table1[Month],Table1[[#This Row],[Month]],Table1[Year],Table1[[#This Row],[Year]],Table1[Mechanic Name],Table1[[#This Row],[Mechanic Name]]),"")</f>
        <v/>
      </c>
    </row>
    <row r="1905" spans="3:12" hidden="1" x14ac:dyDescent="0.35">
      <c r="C1905" s="80"/>
      <c r="K1905" s="81">
        <f>SUM(Table1[[#This Row],[Technical Knowledge]:[Repeat job nahin aana]])/6</f>
        <v>0</v>
      </c>
      <c r="L1905" s="79" t="str">
        <f>IFERROR(AVERAGEIFS(Table1[Final Score],Table1[Month],Table1[[#This Row],[Month]],Table1[Year],Table1[[#This Row],[Year]],Table1[Mechanic Name],Table1[[#This Row],[Mechanic Name]]),"")</f>
        <v/>
      </c>
    </row>
    <row r="1906" spans="3:12" hidden="1" x14ac:dyDescent="0.35">
      <c r="C1906" s="80"/>
      <c r="K1906" s="81">
        <f>SUM(Table1[[#This Row],[Technical Knowledge]:[Repeat job nahin aana]])/6</f>
        <v>0</v>
      </c>
      <c r="L1906" s="79" t="str">
        <f>IFERROR(AVERAGEIFS(Table1[Final Score],Table1[Month],Table1[[#This Row],[Month]],Table1[Year],Table1[[#This Row],[Year]],Table1[Mechanic Name],Table1[[#This Row],[Mechanic Name]]),"")</f>
        <v/>
      </c>
    </row>
    <row r="1907" spans="3:12" hidden="1" x14ac:dyDescent="0.35">
      <c r="C1907" s="80"/>
      <c r="K1907" s="81">
        <f>SUM(Table1[[#This Row],[Technical Knowledge]:[Repeat job nahin aana]])/6</f>
        <v>0</v>
      </c>
      <c r="L1907" s="79" t="str">
        <f>IFERROR(AVERAGEIFS(Table1[Final Score],Table1[Month],Table1[[#This Row],[Month]],Table1[Year],Table1[[#This Row],[Year]],Table1[Mechanic Name],Table1[[#This Row],[Mechanic Name]]),"")</f>
        <v/>
      </c>
    </row>
    <row r="1908" spans="3:12" hidden="1" x14ac:dyDescent="0.35">
      <c r="C1908" s="80"/>
      <c r="K1908" s="81">
        <f>SUM(Table1[[#This Row],[Technical Knowledge]:[Repeat job nahin aana]])/6</f>
        <v>0</v>
      </c>
      <c r="L1908" s="79" t="str">
        <f>IFERROR(AVERAGEIFS(Table1[Final Score],Table1[Month],Table1[[#This Row],[Month]],Table1[Year],Table1[[#This Row],[Year]],Table1[Mechanic Name],Table1[[#This Row],[Mechanic Name]]),"")</f>
        <v/>
      </c>
    </row>
    <row r="1909" spans="3:12" hidden="1" x14ac:dyDescent="0.35">
      <c r="C1909" s="80"/>
      <c r="K1909" s="81">
        <f>SUM(Table1[[#This Row],[Technical Knowledge]:[Repeat job nahin aana]])/6</f>
        <v>0</v>
      </c>
      <c r="L1909" s="79" t="str">
        <f>IFERROR(AVERAGEIFS(Table1[Final Score],Table1[Month],Table1[[#This Row],[Month]],Table1[Year],Table1[[#This Row],[Year]],Table1[Mechanic Name],Table1[[#This Row],[Mechanic Name]]),"")</f>
        <v/>
      </c>
    </row>
    <row r="1910" spans="3:12" hidden="1" x14ac:dyDescent="0.35">
      <c r="C1910" s="80"/>
      <c r="K1910" s="81">
        <f>SUM(Table1[[#This Row],[Technical Knowledge]:[Repeat job nahin aana]])/6</f>
        <v>0</v>
      </c>
      <c r="L1910" s="79" t="str">
        <f>IFERROR(AVERAGEIFS(Table1[Final Score],Table1[Month],Table1[[#This Row],[Month]],Table1[Year],Table1[[#This Row],[Year]],Table1[Mechanic Name],Table1[[#This Row],[Mechanic Name]]),"")</f>
        <v/>
      </c>
    </row>
    <row r="1911" spans="3:12" hidden="1" x14ac:dyDescent="0.35">
      <c r="C1911" s="80"/>
      <c r="K1911" s="81">
        <f>SUM(Table1[[#This Row],[Technical Knowledge]:[Repeat job nahin aana]])/6</f>
        <v>0</v>
      </c>
      <c r="L1911" s="79" t="str">
        <f>IFERROR(AVERAGEIFS(Table1[Final Score],Table1[Month],Table1[[#This Row],[Month]],Table1[Year],Table1[[#This Row],[Year]],Table1[Mechanic Name],Table1[[#This Row],[Mechanic Name]]),"")</f>
        <v/>
      </c>
    </row>
    <row r="1912" spans="3:12" hidden="1" x14ac:dyDescent="0.35">
      <c r="C1912" s="80"/>
      <c r="K1912" s="81">
        <f>SUM(Table1[[#This Row],[Technical Knowledge]:[Repeat job nahin aana]])/6</f>
        <v>0</v>
      </c>
      <c r="L1912" s="79" t="str">
        <f>IFERROR(AVERAGEIFS(Table1[Final Score],Table1[Month],Table1[[#This Row],[Month]],Table1[Year],Table1[[#This Row],[Year]],Table1[Mechanic Name],Table1[[#This Row],[Mechanic Name]]),"")</f>
        <v/>
      </c>
    </row>
    <row r="1913" spans="3:12" hidden="1" x14ac:dyDescent="0.35">
      <c r="C1913" s="80"/>
      <c r="K1913" s="81">
        <f>SUM(Table1[[#This Row],[Technical Knowledge]:[Repeat job nahin aana]])/6</f>
        <v>0</v>
      </c>
      <c r="L1913" s="79" t="str">
        <f>IFERROR(AVERAGEIFS(Table1[Final Score],Table1[Month],Table1[[#This Row],[Month]],Table1[Year],Table1[[#This Row],[Year]],Table1[Mechanic Name],Table1[[#This Row],[Mechanic Name]]),"")</f>
        <v/>
      </c>
    </row>
    <row r="1914" spans="3:12" hidden="1" x14ac:dyDescent="0.35">
      <c r="C1914" s="80"/>
      <c r="K1914" s="81">
        <f>SUM(Table1[[#This Row],[Technical Knowledge]:[Repeat job nahin aana]])/6</f>
        <v>0</v>
      </c>
      <c r="L1914" s="79" t="str">
        <f>IFERROR(AVERAGEIFS(Table1[Final Score],Table1[Month],Table1[[#This Row],[Month]],Table1[Year],Table1[[#This Row],[Year]],Table1[Mechanic Name],Table1[[#This Row],[Mechanic Name]]),"")</f>
        <v/>
      </c>
    </row>
    <row r="1915" spans="3:12" hidden="1" x14ac:dyDescent="0.35">
      <c r="C1915" s="80"/>
      <c r="K1915" s="81">
        <f>SUM(Table1[[#This Row],[Technical Knowledge]:[Repeat job nahin aana]])/6</f>
        <v>0</v>
      </c>
      <c r="L1915" s="79" t="str">
        <f>IFERROR(AVERAGEIFS(Table1[Final Score],Table1[Month],Table1[[#This Row],[Month]],Table1[Year],Table1[[#This Row],[Year]],Table1[Mechanic Name],Table1[[#This Row],[Mechanic Name]]),"")</f>
        <v/>
      </c>
    </row>
    <row r="1916" spans="3:12" hidden="1" x14ac:dyDescent="0.35">
      <c r="C1916" s="80"/>
      <c r="K1916" s="81">
        <f>SUM(Table1[[#This Row],[Technical Knowledge]:[Repeat job nahin aana]])/6</f>
        <v>0</v>
      </c>
      <c r="L1916" s="79" t="str">
        <f>IFERROR(AVERAGEIFS(Table1[Final Score],Table1[Month],Table1[[#This Row],[Month]],Table1[Year],Table1[[#This Row],[Year]],Table1[Mechanic Name],Table1[[#This Row],[Mechanic Name]]),"")</f>
        <v/>
      </c>
    </row>
    <row r="1917" spans="3:12" hidden="1" x14ac:dyDescent="0.35">
      <c r="C1917" s="80"/>
      <c r="K1917" s="81">
        <f>SUM(Table1[[#This Row],[Technical Knowledge]:[Repeat job nahin aana]])/6</f>
        <v>0</v>
      </c>
      <c r="L1917" s="79" t="str">
        <f>IFERROR(AVERAGEIFS(Table1[Final Score],Table1[Month],Table1[[#This Row],[Month]],Table1[Year],Table1[[#This Row],[Year]],Table1[Mechanic Name],Table1[[#This Row],[Mechanic Name]]),"")</f>
        <v/>
      </c>
    </row>
    <row r="1918" spans="3:12" hidden="1" x14ac:dyDescent="0.35">
      <c r="C1918" s="80"/>
      <c r="K1918" s="81">
        <f>SUM(Table1[[#This Row],[Technical Knowledge]:[Repeat job nahin aana]])/6</f>
        <v>0</v>
      </c>
      <c r="L1918" s="79" t="str">
        <f>IFERROR(AVERAGEIFS(Table1[Final Score],Table1[Month],Table1[[#This Row],[Month]],Table1[Year],Table1[[#This Row],[Year]],Table1[Mechanic Name],Table1[[#This Row],[Mechanic Name]]),"")</f>
        <v/>
      </c>
    </row>
    <row r="1919" spans="3:12" hidden="1" x14ac:dyDescent="0.35">
      <c r="C1919" s="80"/>
      <c r="K1919" s="81">
        <f>SUM(Table1[[#This Row],[Technical Knowledge]:[Repeat job nahin aana]])/6</f>
        <v>0</v>
      </c>
      <c r="L1919" s="79" t="str">
        <f>IFERROR(AVERAGEIFS(Table1[Final Score],Table1[Month],Table1[[#This Row],[Month]],Table1[Year],Table1[[#This Row],[Year]],Table1[Mechanic Name],Table1[[#This Row],[Mechanic Name]]),"")</f>
        <v/>
      </c>
    </row>
    <row r="1920" spans="3:12" hidden="1" x14ac:dyDescent="0.35">
      <c r="C1920" s="80"/>
      <c r="K1920" s="81">
        <f>SUM(Table1[[#This Row],[Technical Knowledge]:[Repeat job nahin aana]])/6</f>
        <v>0</v>
      </c>
      <c r="L1920" s="79" t="str">
        <f>IFERROR(AVERAGEIFS(Table1[Final Score],Table1[Month],Table1[[#This Row],[Month]],Table1[Year],Table1[[#This Row],[Year]],Table1[Mechanic Name],Table1[[#This Row],[Mechanic Name]]),"")</f>
        <v/>
      </c>
    </row>
    <row r="1921" spans="3:12" hidden="1" x14ac:dyDescent="0.35">
      <c r="C1921" s="80"/>
      <c r="K1921" s="81">
        <f>SUM(Table1[[#This Row],[Technical Knowledge]:[Repeat job nahin aana]])/6</f>
        <v>0</v>
      </c>
      <c r="L1921" s="79" t="str">
        <f>IFERROR(AVERAGEIFS(Table1[Final Score],Table1[Month],Table1[[#This Row],[Month]],Table1[Year],Table1[[#This Row],[Year]],Table1[Mechanic Name],Table1[[#This Row],[Mechanic Name]]),"")</f>
        <v/>
      </c>
    </row>
    <row r="1922" spans="3:12" hidden="1" x14ac:dyDescent="0.35">
      <c r="C1922" s="80"/>
      <c r="K1922" s="81">
        <f>SUM(Table1[[#This Row],[Technical Knowledge]:[Repeat job nahin aana]])/6</f>
        <v>0</v>
      </c>
      <c r="L1922" s="79" t="str">
        <f>IFERROR(AVERAGEIFS(Table1[Final Score],Table1[Month],Table1[[#This Row],[Month]],Table1[Year],Table1[[#This Row],[Year]],Table1[Mechanic Name],Table1[[#This Row],[Mechanic Name]]),"")</f>
        <v/>
      </c>
    </row>
    <row r="1923" spans="3:12" hidden="1" x14ac:dyDescent="0.35">
      <c r="C1923" s="80"/>
      <c r="K1923" s="81">
        <f>SUM(Table1[[#This Row],[Technical Knowledge]:[Repeat job nahin aana]])/6</f>
        <v>0</v>
      </c>
      <c r="L1923" s="79" t="str">
        <f>IFERROR(AVERAGEIFS(Table1[Final Score],Table1[Month],Table1[[#This Row],[Month]],Table1[Year],Table1[[#This Row],[Year]],Table1[Mechanic Name],Table1[[#This Row],[Mechanic Name]]),"")</f>
        <v/>
      </c>
    </row>
    <row r="1924" spans="3:12" hidden="1" x14ac:dyDescent="0.35">
      <c r="C1924" s="80"/>
      <c r="K1924" s="81">
        <f>SUM(Table1[[#This Row],[Technical Knowledge]:[Repeat job nahin aana]])/6</f>
        <v>0</v>
      </c>
      <c r="L1924" s="79" t="str">
        <f>IFERROR(AVERAGEIFS(Table1[Final Score],Table1[Month],Table1[[#This Row],[Month]],Table1[Year],Table1[[#This Row],[Year]],Table1[Mechanic Name],Table1[[#This Row],[Mechanic Name]]),"")</f>
        <v/>
      </c>
    </row>
    <row r="1925" spans="3:12" hidden="1" x14ac:dyDescent="0.35">
      <c r="C1925" s="80"/>
      <c r="K1925" s="81">
        <f>SUM(Table1[[#This Row],[Technical Knowledge]:[Repeat job nahin aana]])/6</f>
        <v>0</v>
      </c>
      <c r="L1925" s="79" t="str">
        <f>IFERROR(AVERAGEIFS(Table1[Final Score],Table1[Month],Table1[[#This Row],[Month]],Table1[Year],Table1[[#This Row],[Year]],Table1[Mechanic Name],Table1[[#This Row],[Mechanic Name]]),"")</f>
        <v/>
      </c>
    </row>
    <row r="1926" spans="3:12" hidden="1" x14ac:dyDescent="0.35">
      <c r="C1926" s="80"/>
      <c r="K1926" s="81">
        <f>SUM(Table1[[#This Row],[Technical Knowledge]:[Repeat job nahin aana]])/6</f>
        <v>0</v>
      </c>
      <c r="L1926" s="79" t="str">
        <f>IFERROR(AVERAGEIFS(Table1[Final Score],Table1[Month],Table1[[#This Row],[Month]],Table1[Year],Table1[[#This Row],[Year]],Table1[Mechanic Name],Table1[[#This Row],[Mechanic Name]]),"")</f>
        <v/>
      </c>
    </row>
    <row r="1927" spans="3:12" hidden="1" x14ac:dyDescent="0.35">
      <c r="C1927" s="80"/>
      <c r="K1927" s="81">
        <f>SUM(Table1[[#This Row],[Technical Knowledge]:[Repeat job nahin aana]])/6</f>
        <v>0</v>
      </c>
      <c r="L1927" s="79" t="str">
        <f>IFERROR(AVERAGEIFS(Table1[Final Score],Table1[Month],Table1[[#This Row],[Month]],Table1[Year],Table1[[#This Row],[Year]],Table1[Mechanic Name],Table1[[#This Row],[Mechanic Name]]),"")</f>
        <v/>
      </c>
    </row>
    <row r="1928" spans="3:12" hidden="1" x14ac:dyDescent="0.35">
      <c r="C1928" s="80"/>
      <c r="K1928" s="81">
        <f>SUM(Table1[[#This Row],[Technical Knowledge]:[Repeat job nahin aana]])/6</f>
        <v>0</v>
      </c>
      <c r="L1928" s="79" t="str">
        <f>IFERROR(AVERAGEIFS(Table1[Final Score],Table1[Month],Table1[[#This Row],[Month]],Table1[Year],Table1[[#This Row],[Year]],Table1[Mechanic Name],Table1[[#This Row],[Mechanic Name]]),"")</f>
        <v/>
      </c>
    </row>
    <row r="1929" spans="3:12" hidden="1" x14ac:dyDescent="0.35">
      <c r="C1929" s="80"/>
      <c r="K1929" s="81">
        <f>SUM(Table1[[#This Row],[Technical Knowledge]:[Repeat job nahin aana]])/6</f>
        <v>0</v>
      </c>
      <c r="L1929" s="79" t="str">
        <f>IFERROR(AVERAGEIFS(Table1[Final Score],Table1[Month],Table1[[#This Row],[Month]],Table1[Year],Table1[[#This Row],[Year]],Table1[Mechanic Name],Table1[[#This Row],[Mechanic Name]]),"")</f>
        <v/>
      </c>
    </row>
    <row r="1930" spans="3:12" hidden="1" x14ac:dyDescent="0.35">
      <c r="C1930" s="80"/>
      <c r="K1930" s="81">
        <f>SUM(Table1[[#This Row],[Technical Knowledge]:[Repeat job nahin aana]])/6</f>
        <v>0</v>
      </c>
      <c r="L1930" s="79" t="str">
        <f>IFERROR(AVERAGEIFS(Table1[Final Score],Table1[Month],Table1[[#This Row],[Month]],Table1[Year],Table1[[#This Row],[Year]],Table1[Mechanic Name],Table1[[#This Row],[Mechanic Name]]),"")</f>
        <v/>
      </c>
    </row>
    <row r="1931" spans="3:12" hidden="1" x14ac:dyDescent="0.35">
      <c r="C1931" s="80"/>
      <c r="K1931" s="81">
        <f>SUM(Table1[[#This Row],[Technical Knowledge]:[Repeat job nahin aana]])/6</f>
        <v>0</v>
      </c>
      <c r="L1931" s="79" t="str">
        <f>IFERROR(AVERAGEIFS(Table1[Final Score],Table1[Month],Table1[[#This Row],[Month]],Table1[Year],Table1[[#This Row],[Year]],Table1[Mechanic Name],Table1[[#This Row],[Mechanic Name]]),"")</f>
        <v/>
      </c>
    </row>
    <row r="1932" spans="3:12" hidden="1" x14ac:dyDescent="0.35">
      <c r="C1932" s="80"/>
      <c r="K1932" s="81">
        <f>SUM(Table1[[#This Row],[Technical Knowledge]:[Repeat job nahin aana]])/6</f>
        <v>0</v>
      </c>
      <c r="L1932" s="79" t="str">
        <f>IFERROR(AVERAGEIFS(Table1[Final Score],Table1[Month],Table1[[#This Row],[Month]],Table1[Year],Table1[[#This Row],[Year]],Table1[Mechanic Name],Table1[[#This Row],[Mechanic Name]]),"")</f>
        <v/>
      </c>
    </row>
    <row r="1933" spans="3:12" hidden="1" x14ac:dyDescent="0.35">
      <c r="C1933" s="80"/>
      <c r="K1933" s="81">
        <f>SUM(Table1[[#This Row],[Technical Knowledge]:[Repeat job nahin aana]])/6</f>
        <v>0</v>
      </c>
      <c r="L1933" s="79" t="str">
        <f>IFERROR(AVERAGEIFS(Table1[Final Score],Table1[Month],Table1[[#This Row],[Month]],Table1[Year],Table1[[#This Row],[Year]],Table1[Mechanic Name],Table1[[#This Row],[Mechanic Name]]),"")</f>
        <v/>
      </c>
    </row>
    <row r="1934" spans="3:12" hidden="1" x14ac:dyDescent="0.35">
      <c r="C1934" s="80"/>
      <c r="K1934" s="81">
        <f>SUM(Table1[[#This Row],[Technical Knowledge]:[Repeat job nahin aana]])/6</f>
        <v>0</v>
      </c>
      <c r="L1934" s="79" t="str">
        <f>IFERROR(AVERAGEIFS(Table1[Final Score],Table1[Month],Table1[[#This Row],[Month]],Table1[Year],Table1[[#This Row],[Year]],Table1[Mechanic Name],Table1[[#This Row],[Mechanic Name]]),"")</f>
        <v/>
      </c>
    </row>
    <row r="1935" spans="3:12" hidden="1" x14ac:dyDescent="0.35">
      <c r="C1935" s="80"/>
      <c r="K1935" s="81">
        <f>SUM(Table1[[#This Row],[Technical Knowledge]:[Repeat job nahin aana]])/6</f>
        <v>0</v>
      </c>
      <c r="L1935" s="79" t="str">
        <f>IFERROR(AVERAGEIFS(Table1[Final Score],Table1[Month],Table1[[#This Row],[Month]],Table1[Year],Table1[[#This Row],[Year]],Table1[Mechanic Name],Table1[[#This Row],[Mechanic Name]]),"")</f>
        <v/>
      </c>
    </row>
    <row r="1936" spans="3:12" hidden="1" x14ac:dyDescent="0.35">
      <c r="C1936" s="80"/>
      <c r="K1936" s="81">
        <f>SUM(Table1[[#This Row],[Technical Knowledge]:[Repeat job nahin aana]])/6</f>
        <v>0</v>
      </c>
      <c r="L1936" s="79" t="str">
        <f>IFERROR(AVERAGEIFS(Table1[Final Score],Table1[Month],Table1[[#This Row],[Month]],Table1[Year],Table1[[#This Row],[Year]],Table1[Mechanic Name],Table1[[#This Row],[Mechanic Name]]),"")</f>
        <v/>
      </c>
    </row>
    <row r="1937" spans="3:12" hidden="1" x14ac:dyDescent="0.35">
      <c r="C1937" s="80"/>
      <c r="K1937" s="81">
        <f>SUM(Table1[[#This Row],[Technical Knowledge]:[Repeat job nahin aana]])/6</f>
        <v>0</v>
      </c>
      <c r="L1937" s="79" t="str">
        <f>IFERROR(AVERAGEIFS(Table1[Final Score],Table1[Month],Table1[[#This Row],[Month]],Table1[Year],Table1[[#This Row],[Year]],Table1[Mechanic Name],Table1[[#This Row],[Mechanic Name]]),"")</f>
        <v/>
      </c>
    </row>
    <row r="1938" spans="3:12" hidden="1" x14ac:dyDescent="0.35">
      <c r="C1938" s="80"/>
      <c r="K1938" s="81">
        <f>SUM(Table1[[#This Row],[Technical Knowledge]:[Repeat job nahin aana]])/6</f>
        <v>0</v>
      </c>
      <c r="L1938" s="79" t="str">
        <f>IFERROR(AVERAGEIFS(Table1[Final Score],Table1[Month],Table1[[#This Row],[Month]],Table1[Year],Table1[[#This Row],[Year]],Table1[Mechanic Name],Table1[[#This Row],[Mechanic Name]]),"")</f>
        <v/>
      </c>
    </row>
    <row r="1939" spans="3:12" hidden="1" x14ac:dyDescent="0.35">
      <c r="C1939" s="80"/>
      <c r="K1939" s="81">
        <f>SUM(Table1[[#This Row],[Technical Knowledge]:[Repeat job nahin aana]])/6</f>
        <v>0</v>
      </c>
      <c r="L1939" s="79" t="str">
        <f>IFERROR(AVERAGEIFS(Table1[Final Score],Table1[Month],Table1[[#This Row],[Month]],Table1[Year],Table1[[#This Row],[Year]],Table1[Mechanic Name],Table1[[#This Row],[Mechanic Name]]),"")</f>
        <v/>
      </c>
    </row>
    <row r="1940" spans="3:12" hidden="1" x14ac:dyDescent="0.35">
      <c r="C1940" s="80"/>
      <c r="K1940" s="81">
        <f>SUM(Table1[[#This Row],[Technical Knowledge]:[Repeat job nahin aana]])/6</f>
        <v>0</v>
      </c>
      <c r="L1940" s="79" t="str">
        <f>IFERROR(AVERAGEIFS(Table1[Final Score],Table1[Month],Table1[[#This Row],[Month]],Table1[Year],Table1[[#This Row],[Year]],Table1[Mechanic Name],Table1[[#This Row],[Mechanic Name]]),"")</f>
        <v/>
      </c>
    </row>
    <row r="1941" spans="3:12" hidden="1" x14ac:dyDescent="0.35">
      <c r="C1941" s="80"/>
      <c r="K1941" s="81">
        <f>SUM(Table1[[#This Row],[Technical Knowledge]:[Repeat job nahin aana]])/6</f>
        <v>0</v>
      </c>
      <c r="L1941" s="79" t="str">
        <f>IFERROR(AVERAGEIFS(Table1[Final Score],Table1[Month],Table1[[#This Row],[Month]],Table1[Year],Table1[[#This Row],[Year]],Table1[Mechanic Name],Table1[[#This Row],[Mechanic Name]]),"")</f>
        <v/>
      </c>
    </row>
    <row r="1942" spans="3:12" hidden="1" x14ac:dyDescent="0.35">
      <c r="C1942" s="80"/>
      <c r="K1942" s="81">
        <f>SUM(Table1[[#This Row],[Technical Knowledge]:[Repeat job nahin aana]])/6</f>
        <v>0</v>
      </c>
      <c r="L1942" s="79" t="str">
        <f>IFERROR(AVERAGEIFS(Table1[Final Score],Table1[Month],Table1[[#This Row],[Month]],Table1[Year],Table1[[#This Row],[Year]],Table1[Mechanic Name],Table1[[#This Row],[Mechanic Name]]),"")</f>
        <v/>
      </c>
    </row>
    <row r="1943" spans="3:12" hidden="1" x14ac:dyDescent="0.35">
      <c r="C1943" s="80"/>
      <c r="K1943" s="81">
        <f>SUM(Table1[[#This Row],[Technical Knowledge]:[Repeat job nahin aana]])/6</f>
        <v>0</v>
      </c>
      <c r="L1943" s="79" t="str">
        <f>IFERROR(AVERAGEIFS(Table1[Final Score],Table1[Month],Table1[[#This Row],[Month]],Table1[Year],Table1[[#This Row],[Year]],Table1[Mechanic Name],Table1[[#This Row],[Mechanic Name]]),"")</f>
        <v/>
      </c>
    </row>
    <row r="1944" spans="3:12" hidden="1" x14ac:dyDescent="0.35">
      <c r="C1944" s="80"/>
      <c r="K1944" s="81">
        <f>SUM(Table1[[#This Row],[Technical Knowledge]:[Repeat job nahin aana]])/6</f>
        <v>0</v>
      </c>
      <c r="L1944" s="79" t="str">
        <f>IFERROR(AVERAGEIFS(Table1[Final Score],Table1[Month],Table1[[#This Row],[Month]],Table1[Year],Table1[[#This Row],[Year]],Table1[Mechanic Name],Table1[[#This Row],[Mechanic Name]]),"")</f>
        <v/>
      </c>
    </row>
    <row r="1945" spans="3:12" hidden="1" x14ac:dyDescent="0.35">
      <c r="C1945" s="80"/>
      <c r="K1945" s="81">
        <f>SUM(Table1[[#This Row],[Technical Knowledge]:[Repeat job nahin aana]])/6</f>
        <v>0</v>
      </c>
      <c r="L1945" s="79" t="str">
        <f>IFERROR(AVERAGEIFS(Table1[Final Score],Table1[Month],Table1[[#This Row],[Month]],Table1[Year],Table1[[#This Row],[Year]],Table1[Mechanic Name],Table1[[#This Row],[Mechanic Name]]),"")</f>
        <v/>
      </c>
    </row>
    <row r="1946" spans="3:12" hidden="1" x14ac:dyDescent="0.35">
      <c r="C1946" s="80"/>
      <c r="K1946" s="81">
        <f>SUM(Table1[[#This Row],[Technical Knowledge]:[Repeat job nahin aana]])/6</f>
        <v>0</v>
      </c>
      <c r="L1946" s="79" t="str">
        <f>IFERROR(AVERAGEIFS(Table1[Final Score],Table1[Month],Table1[[#This Row],[Month]],Table1[Year],Table1[[#This Row],[Year]],Table1[Mechanic Name],Table1[[#This Row],[Mechanic Name]]),"")</f>
        <v/>
      </c>
    </row>
    <row r="1947" spans="3:12" hidden="1" x14ac:dyDescent="0.35">
      <c r="C1947" s="80"/>
      <c r="K1947" s="81">
        <f>SUM(Table1[[#This Row],[Technical Knowledge]:[Repeat job nahin aana]])/6</f>
        <v>0</v>
      </c>
      <c r="L1947" s="79" t="str">
        <f>IFERROR(AVERAGEIFS(Table1[Final Score],Table1[Month],Table1[[#This Row],[Month]],Table1[Year],Table1[[#This Row],[Year]],Table1[Mechanic Name],Table1[[#This Row],[Mechanic Name]]),"")</f>
        <v/>
      </c>
    </row>
    <row r="1948" spans="3:12" hidden="1" x14ac:dyDescent="0.35">
      <c r="C1948" s="80"/>
      <c r="K1948" s="81">
        <f>SUM(Table1[[#This Row],[Technical Knowledge]:[Repeat job nahin aana]])/6</f>
        <v>0</v>
      </c>
      <c r="L1948" s="79" t="str">
        <f>IFERROR(AVERAGEIFS(Table1[Final Score],Table1[Month],Table1[[#This Row],[Month]],Table1[Year],Table1[[#This Row],[Year]],Table1[Mechanic Name],Table1[[#This Row],[Mechanic Name]]),"")</f>
        <v/>
      </c>
    </row>
    <row r="1949" spans="3:12" hidden="1" x14ac:dyDescent="0.35">
      <c r="C1949" s="80"/>
      <c r="K1949" s="81">
        <f>SUM(Table1[[#This Row],[Technical Knowledge]:[Repeat job nahin aana]])/6</f>
        <v>0</v>
      </c>
      <c r="L1949" s="79" t="str">
        <f>IFERROR(AVERAGEIFS(Table1[Final Score],Table1[Month],Table1[[#This Row],[Month]],Table1[Year],Table1[[#This Row],[Year]],Table1[Mechanic Name],Table1[[#This Row],[Mechanic Name]]),"")</f>
        <v/>
      </c>
    </row>
    <row r="1950" spans="3:12" hidden="1" x14ac:dyDescent="0.35">
      <c r="C1950" s="80"/>
      <c r="K1950" s="81">
        <f>SUM(Table1[[#This Row],[Technical Knowledge]:[Repeat job nahin aana]])/6</f>
        <v>0</v>
      </c>
      <c r="L1950" s="79" t="str">
        <f>IFERROR(AVERAGEIFS(Table1[Final Score],Table1[Month],Table1[[#This Row],[Month]],Table1[Year],Table1[[#This Row],[Year]],Table1[Mechanic Name],Table1[[#This Row],[Mechanic Name]]),"")</f>
        <v/>
      </c>
    </row>
    <row r="1951" spans="3:12" hidden="1" x14ac:dyDescent="0.35">
      <c r="C1951" s="80"/>
      <c r="K1951" s="81">
        <f>SUM(Table1[[#This Row],[Technical Knowledge]:[Repeat job nahin aana]])/6</f>
        <v>0</v>
      </c>
      <c r="L1951" s="79" t="str">
        <f>IFERROR(AVERAGEIFS(Table1[Final Score],Table1[Month],Table1[[#This Row],[Month]],Table1[Year],Table1[[#This Row],[Year]],Table1[Mechanic Name],Table1[[#This Row],[Mechanic Name]]),"")</f>
        <v/>
      </c>
    </row>
    <row r="1952" spans="3:12" hidden="1" x14ac:dyDescent="0.35">
      <c r="C1952" s="80"/>
      <c r="K1952" s="81">
        <f>SUM(Table1[[#This Row],[Technical Knowledge]:[Repeat job nahin aana]])/6</f>
        <v>0</v>
      </c>
      <c r="L1952" s="79" t="str">
        <f>IFERROR(AVERAGEIFS(Table1[Final Score],Table1[Month],Table1[[#This Row],[Month]],Table1[Year],Table1[[#This Row],[Year]],Table1[Mechanic Name],Table1[[#This Row],[Mechanic Name]]),"")</f>
        <v/>
      </c>
    </row>
    <row r="1953" spans="3:12" hidden="1" x14ac:dyDescent="0.35">
      <c r="C1953" s="80"/>
      <c r="K1953" s="81">
        <f>SUM(Table1[[#This Row],[Technical Knowledge]:[Repeat job nahin aana]])/6</f>
        <v>0</v>
      </c>
      <c r="L1953" s="79" t="str">
        <f>IFERROR(AVERAGEIFS(Table1[Final Score],Table1[Month],Table1[[#This Row],[Month]],Table1[Year],Table1[[#This Row],[Year]],Table1[Mechanic Name],Table1[[#This Row],[Mechanic Name]]),"")</f>
        <v/>
      </c>
    </row>
    <row r="1954" spans="3:12" hidden="1" x14ac:dyDescent="0.35">
      <c r="C1954" s="80"/>
      <c r="K1954" s="81">
        <f>SUM(Table1[[#This Row],[Technical Knowledge]:[Repeat job nahin aana]])/6</f>
        <v>0</v>
      </c>
      <c r="L1954" s="79" t="str">
        <f>IFERROR(AVERAGEIFS(Table1[Final Score],Table1[Month],Table1[[#This Row],[Month]],Table1[Year],Table1[[#This Row],[Year]],Table1[Mechanic Name],Table1[[#This Row],[Mechanic Name]]),"")</f>
        <v/>
      </c>
    </row>
    <row r="1955" spans="3:12" hidden="1" x14ac:dyDescent="0.35">
      <c r="C1955" s="80"/>
      <c r="K1955" s="81">
        <f>SUM(Table1[[#This Row],[Technical Knowledge]:[Repeat job nahin aana]])/6</f>
        <v>0</v>
      </c>
      <c r="L1955" s="79" t="str">
        <f>IFERROR(AVERAGEIFS(Table1[Final Score],Table1[Month],Table1[[#This Row],[Month]],Table1[Year],Table1[[#This Row],[Year]],Table1[Mechanic Name],Table1[[#This Row],[Mechanic Name]]),"")</f>
        <v/>
      </c>
    </row>
    <row r="1956" spans="3:12" hidden="1" x14ac:dyDescent="0.35">
      <c r="C1956" s="80"/>
      <c r="K1956" s="81">
        <f>SUM(Table1[[#This Row],[Technical Knowledge]:[Repeat job nahin aana]])/6</f>
        <v>0</v>
      </c>
      <c r="L1956" s="79" t="str">
        <f>IFERROR(AVERAGEIFS(Table1[Final Score],Table1[Month],Table1[[#This Row],[Month]],Table1[Year],Table1[[#This Row],[Year]],Table1[Mechanic Name],Table1[[#This Row],[Mechanic Name]]),"")</f>
        <v/>
      </c>
    </row>
    <row r="1957" spans="3:12" hidden="1" x14ac:dyDescent="0.35">
      <c r="C1957" s="80"/>
      <c r="K1957" s="81">
        <f>SUM(Table1[[#This Row],[Technical Knowledge]:[Repeat job nahin aana]])/6</f>
        <v>0</v>
      </c>
      <c r="L1957" s="79" t="str">
        <f>IFERROR(AVERAGEIFS(Table1[Final Score],Table1[Month],Table1[[#This Row],[Month]],Table1[Year],Table1[[#This Row],[Year]],Table1[Mechanic Name],Table1[[#This Row],[Mechanic Name]]),"")</f>
        <v/>
      </c>
    </row>
    <row r="1958" spans="3:12" hidden="1" x14ac:dyDescent="0.35">
      <c r="C1958" s="80"/>
      <c r="K1958" s="81">
        <f>SUM(Table1[[#This Row],[Technical Knowledge]:[Repeat job nahin aana]])/6</f>
        <v>0</v>
      </c>
      <c r="L1958" s="79" t="str">
        <f>IFERROR(AVERAGEIFS(Table1[Final Score],Table1[Month],Table1[[#This Row],[Month]],Table1[Year],Table1[[#This Row],[Year]],Table1[Mechanic Name],Table1[[#This Row],[Mechanic Name]]),"")</f>
        <v/>
      </c>
    </row>
    <row r="1959" spans="3:12" hidden="1" x14ac:dyDescent="0.35">
      <c r="C1959" s="80"/>
      <c r="K1959" s="81">
        <f>SUM(Table1[[#This Row],[Technical Knowledge]:[Repeat job nahin aana]])/6</f>
        <v>0</v>
      </c>
      <c r="L1959" s="79" t="str">
        <f>IFERROR(AVERAGEIFS(Table1[Final Score],Table1[Month],Table1[[#This Row],[Month]],Table1[Year],Table1[[#This Row],[Year]],Table1[Mechanic Name],Table1[[#This Row],[Mechanic Name]]),"")</f>
        <v/>
      </c>
    </row>
    <row r="1960" spans="3:12" hidden="1" x14ac:dyDescent="0.35">
      <c r="C1960" s="80"/>
      <c r="K1960" s="81">
        <f>SUM(Table1[[#This Row],[Technical Knowledge]:[Repeat job nahin aana]])/6</f>
        <v>0</v>
      </c>
      <c r="L1960" s="79" t="str">
        <f>IFERROR(AVERAGEIFS(Table1[Final Score],Table1[Month],Table1[[#This Row],[Month]],Table1[Year],Table1[[#This Row],[Year]],Table1[Mechanic Name],Table1[[#This Row],[Mechanic Name]]),"")</f>
        <v/>
      </c>
    </row>
    <row r="1961" spans="3:12" hidden="1" x14ac:dyDescent="0.35">
      <c r="C1961" s="80"/>
      <c r="K1961" s="81">
        <f>SUM(Table1[[#This Row],[Technical Knowledge]:[Repeat job nahin aana]])/6</f>
        <v>0</v>
      </c>
      <c r="L1961" s="79" t="str">
        <f>IFERROR(AVERAGEIFS(Table1[Final Score],Table1[Month],Table1[[#This Row],[Month]],Table1[Year],Table1[[#This Row],[Year]],Table1[Mechanic Name],Table1[[#This Row],[Mechanic Name]]),"")</f>
        <v/>
      </c>
    </row>
    <row r="1962" spans="3:12" hidden="1" x14ac:dyDescent="0.35">
      <c r="C1962" s="80"/>
      <c r="K1962" s="81">
        <f>SUM(Table1[[#This Row],[Technical Knowledge]:[Repeat job nahin aana]])/6</f>
        <v>0</v>
      </c>
      <c r="L1962" s="79" t="str">
        <f>IFERROR(AVERAGEIFS(Table1[Final Score],Table1[Month],Table1[[#This Row],[Month]],Table1[Year],Table1[[#This Row],[Year]],Table1[Mechanic Name],Table1[[#This Row],[Mechanic Name]]),"")</f>
        <v/>
      </c>
    </row>
    <row r="1963" spans="3:12" hidden="1" x14ac:dyDescent="0.35">
      <c r="C1963" s="80"/>
      <c r="K1963" s="81">
        <f>SUM(Table1[[#This Row],[Technical Knowledge]:[Repeat job nahin aana]])/6</f>
        <v>0</v>
      </c>
      <c r="L1963" s="79" t="str">
        <f>IFERROR(AVERAGEIFS(Table1[Final Score],Table1[Month],Table1[[#This Row],[Month]],Table1[Year],Table1[[#This Row],[Year]],Table1[Mechanic Name],Table1[[#This Row],[Mechanic Name]]),"")</f>
        <v/>
      </c>
    </row>
    <row r="1964" spans="3:12" hidden="1" x14ac:dyDescent="0.35">
      <c r="C1964" s="80"/>
      <c r="K1964" s="81">
        <f>SUM(Table1[[#This Row],[Technical Knowledge]:[Repeat job nahin aana]])/6</f>
        <v>0</v>
      </c>
      <c r="L1964" s="79" t="str">
        <f>IFERROR(AVERAGEIFS(Table1[Final Score],Table1[Month],Table1[[#This Row],[Month]],Table1[Year],Table1[[#This Row],[Year]],Table1[Mechanic Name],Table1[[#This Row],[Mechanic Name]]),"")</f>
        <v/>
      </c>
    </row>
    <row r="1965" spans="3:12" hidden="1" x14ac:dyDescent="0.35">
      <c r="C1965" s="80"/>
      <c r="K1965" s="81">
        <f>SUM(Table1[[#This Row],[Technical Knowledge]:[Repeat job nahin aana]])/6</f>
        <v>0</v>
      </c>
      <c r="L1965" s="79" t="str">
        <f>IFERROR(AVERAGEIFS(Table1[Final Score],Table1[Month],Table1[[#This Row],[Month]],Table1[Year],Table1[[#This Row],[Year]],Table1[Mechanic Name],Table1[[#This Row],[Mechanic Name]]),"")</f>
        <v/>
      </c>
    </row>
    <row r="1966" spans="3:12" hidden="1" x14ac:dyDescent="0.35">
      <c r="C1966" s="80"/>
      <c r="K1966" s="81">
        <f>SUM(Table1[[#This Row],[Technical Knowledge]:[Repeat job nahin aana]])/6</f>
        <v>0</v>
      </c>
      <c r="L1966" s="79" t="str">
        <f>IFERROR(AVERAGEIFS(Table1[Final Score],Table1[Month],Table1[[#This Row],[Month]],Table1[Year],Table1[[#This Row],[Year]],Table1[Mechanic Name],Table1[[#This Row],[Mechanic Name]]),"")</f>
        <v/>
      </c>
    </row>
    <row r="1967" spans="3:12" hidden="1" x14ac:dyDescent="0.35">
      <c r="C1967" s="80"/>
      <c r="K1967" s="81">
        <f>SUM(Table1[[#This Row],[Technical Knowledge]:[Repeat job nahin aana]])/6</f>
        <v>0</v>
      </c>
      <c r="L1967" s="79" t="str">
        <f>IFERROR(AVERAGEIFS(Table1[Final Score],Table1[Month],Table1[[#This Row],[Month]],Table1[Year],Table1[[#This Row],[Year]],Table1[Mechanic Name],Table1[[#This Row],[Mechanic Name]]),"")</f>
        <v/>
      </c>
    </row>
    <row r="1968" spans="3:12" hidden="1" x14ac:dyDescent="0.35">
      <c r="C1968" s="80"/>
      <c r="K1968" s="81">
        <f>SUM(Table1[[#This Row],[Technical Knowledge]:[Repeat job nahin aana]])/6</f>
        <v>0</v>
      </c>
      <c r="L1968" s="79" t="str">
        <f>IFERROR(AVERAGEIFS(Table1[Final Score],Table1[Month],Table1[[#This Row],[Month]],Table1[Year],Table1[[#This Row],[Year]],Table1[Mechanic Name],Table1[[#This Row],[Mechanic Name]]),"")</f>
        <v/>
      </c>
    </row>
    <row r="1969" spans="3:12" hidden="1" x14ac:dyDescent="0.35">
      <c r="C1969" s="80"/>
      <c r="K1969" s="81">
        <f>SUM(Table1[[#This Row],[Technical Knowledge]:[Repeat job nahin aana]])/6</f>
        <v>0</v>
      </c>
      <c r="L1969" s="79" t="str">
        <f>IFERROR(AVERAGEIFS(Table1[Final Score],Table1[Month],Table1[[#This Row],[Month]],Table1[Year],Table1[[#This Row],[Year]],Table1[Mechanic Name],Table1[[#This Row],[Mechanic Name]]),"")</f>
        <v/>
      </c>
    </row>
    <row r="1970" spans="3:12" hidden="1" x14ac:dyDescent="0.35">
      <c r="C1970" s="80"/>
      <c r="K1970" s="81">
        <f>SUM(Table1[[#This Row],[Technical Knowledge]:[Repeat job nahin aana]])/6</f>
        <v>0</v>
      </c>
      <c r="L1970" s="79" t="str">
        <f>IFERROR(AVERAGEIFS(Table1[Final Score],Table1[Month],Table1[[#This Row],[Month]],Table1[Year],Table1[[#This Row],[Year]],Table1[Mechanic Name],Table1[[#This Row],[Mechanic Name]]),"")</f>
        <v/>
      </c>
    </row>
    <row r="1971" spans="3:12" hidden="1" x14ac:dyDescent="0.35">
      <c r="C1971" s="80"/>
      <c r="K1971" s="81">
        <f>SUM(Table1[[#This Row],[Technical Knowledge]:[Repeat job nahin aana]])/6</f>
        <v>0</v>
      </c>
      <c r="L1971" s="79" t="str">
        <f>IFERROR(AVERAGEIFS(Table1[Final Score],Table1[Month],Table1[[#This Row],[Month]],Table1[Year],Table1[[#This Row],[Year]],Table1[Mechanic Name],Table1[[#This Row],[Mechanic Name]]),"")</f>
        <v/>
      </c>
    </row>
    <row r="1972" spans="3:12" hidden="1" x14ac:dyDescent="0.35">
      <c r="C1972" s="80"/>
      <c r="K1972" s="81">
        <f>SUM(Table1[[#This Row],[Technical Knowledge]:[Repeat job nahin aana]])/6</f>
        <v>0</v>
      </c>
      <c r="L1972" s="79" t="str">
        <f>IFERROR(AVERAGEIFS(Table1[Final Score],Table1[Month],Table1[[#This Row],[Month]],Table1[Year],Table1[[#This Row],[Year]],Table1[Mechanic Name],Table1[[#This Row],[Mechanic Name]]),"")</f>
        <v/>
      </c>
    </row>
    <row r="1973" spans="3:12" hidden="1" x14ac:dyDescent="0.35">
      <c r="C1973" s="80"/>
      <c r="K1973" s="81">
        <f>SUM(Table1[[#This Row],[Technical Knowledge]:[Repeat job nahin aana]])/6</f>
        <v>0</v>
      </c>
      <c r="L1973" s="79" t="str">
        <f>IFERROR(AVERAGEIFS(Table1[Final Score],Table1[Month],Table1[[#This Row],[Month]],Table1[Year],Table1[[#This Row],[Year]],Table1[Mechanic Name],Table1[[#This Row],[Mechanic Name]]),"")</f>
        <v/>
      </c>
    </row>
    <row r="1974" spans="3:12" hidden="1" x14ac:dyDescent="0.35">
      <c r="C1974" s="80"/>
      <c r="K1974" s="81">
        <f>SUM(Table1[[#This Row],[Technical Knowledge]:[Repeat job nahin aana]])/6</f>
        <v>0</v>
      </c>
      <c r="L1974" s="79" t="str">
        <f>IFERROR(AVERAGEIFS(Table1[Final Score],Table1[Month],Table1[[#This Row],[Month]],Table1[Year],Table1[[#This Row],[Year]],Table1[Mechanic Name],Table1[[#This Row],[Mechanic Name]]),"")</f>
        <v/>
      </c>
    </row>
    <row r="1975" spans="3:12" hidden="1" x14ac:dyDescent="0.35">
      <c r="C1975" s="80"/>
      <c r="K1975" s="81">
        <f>SUM(Table1[[#This Row],[Technical Knowledge]:[Repeat job nahin aana]])/6</f>
        <v>0</v>
      </c>
      <c r="L1975" s="79" t="str">
        <f>IFERROR(AVERAGEIFS(Table1[Final Score],Table1[Month],Table1[[#This Row],[Month]],Table1[Year],Table1[[#This Row],[Year]],Table1[Mechanic Name],Table1[[#This Row],[Mechanic Name]]),"")</f>
        <v/>
      </c>
    </row>
    <row r="1976" spans="3:12" hidden="1" x14ac:dyDescent="0.35">
      <c r="C1976" s="80"/>
      <c r="K1976" s="81">
        <f>SUM(Table1[[#This Row],[Technical Knowledge]:[Repeat job nahin aana]])/6</f>
        <v>0</v>
      </c>
      <c r="L1976" s="79" t="str">
        <f>IFERROR(AVERAGEIFS(Table1[Final Score],Table1[Month],Table1[[#This Row],[Month]],Table1[Year],Table1[[#This Row],[Year]],Table1[Mechanic Name],Table1[[#This Row],[Mechanic Name]]),"")</f>
        <v/>
      </c>
    </row>
    <row r="1977" spans="3:12" hidden="1" x14ac:dyDescent="0.35">
      <c r="C1977" s="80"/>
      <c r="K1977" s="81">
        <f>SUM(Table1[[#This Row],[Technical Knowledge]:[Repeat job nahin aana]])/6</f>
        <v>0</v>
      </c>
      <c r="L1977" s="79" t="str">
        <f>IFERROR(AVERAGEIFS(Table1[Final Score],Table1[Month],Table1[[#This Row],[Month]],Table1[Year],Table1[[#This Row],[Year]],Table1[Mechanic Name],Table1[[#This Row],[Mechanic Name]]),"")</f>
        <v/>
      </c>
    </row>
    <row r="1978" spans="3:12" hidden="1" x14ac:dyDescent="0.35">
      <c r="C1978" s="80"/>
      <c r="K1978" s="81">
        <f>SUM(Table1[[#This Row],[Technical Knowledge]:[Repeat job nahin aana]])/6</f>
        <v>0</v>
      </c>
      <c r="L1978" s="79" t="str">
        <f>IFERROR(AVERAGEIFS(Table1[Final Score],Table1[Month],Table1[[#This Row],[Month]],Table1[Year],Table1[[#This Row],[Year]],Table1[Mechanic Name],Table1[[#This Row],[Mechanic Name]]),"")</f>
        <v/>
      </c>
    </row>
    <row r="1979" spans="3:12" hidden="1" x14ac:dyDescent="0.35">
      <c r="C1979" s="80"/>
      <c r="K1979" s="81">
        <f>SUM(Table1[[#This Row],[Technical Knowledge]:[Repeat job nahin aana]])/6</f>
        <v>0</v>
      </c>
      <c r="L1979" s="79" t="str">
        <f>IFERROR(AVERAGEIFS(Table1[Final Score],Table1[Month],Table1[[#This Row],[Month]],Table1[Year],Table1[[#This Row],[Year]],Table1[Mechanic Name],Table1[[#This Row],[Mechanic Name]]),"")</f>
        <v/>
      </c>
    </row>
    <row r="1980" spans="3:12" hidden="1" x14ac:dyDescent="0.35">
      <c r="C1980" s="80"/>
      <c r="K1980" s="81">
        <f>SUM(Table1[[#This Row],[Technical Knowledge]:[Repeat job nahin aana]])/6</f>
        <v>0</v>
      </c>
      <c r="L1980" s="79" t="str">
        <f>IFERROR(AVERAGEIFS(Table1[Final Score],Table1[Month],Table1[[#This Row],[Month]],Table1[Year],Table1[[#This Row],[Year]],Table1[Mechanic Name],Table1[[#This Row],[Mechanic Name]]),"")</f>
        <v/>
      </c>
    </row>
    <row r="1981" spans="3:12" hidden="1" x14ac:dyDescent="0.35">
      <c r="C1981" s="80"/>
      <c r="K1981" s="81">
        <f>SUM(Table1[[#This Row],[Technical Knowledge]:[Repeat job nahin aana]])/6</f>
        <v>0</v>
      </c>
      <c r="L1981" s="79" t="str">
        <f>IFERROR(AVERAGEIFS(Table1[Final Score],Table1[Month],Table1[[#This Row],[Month]],Table1[Year],Table1[[#This Row],[Year]],Table1[Mechanic Name],Table1[[#This Row],[Mechanic Name]]),"")</f>
        <v/>
      </c>
    </row>
    <row r="1982" spans="3:12" hidden="1" x14ac:dyDescent="0.35">
      <c r="C1982" s="80"/>
      <c r="K1982" s="81">
        <f>SUM(Table1[[#This Row],[Technical Knowledge]:[Repeat job nahin aana]])/6</f>
        <v>0</v>
      </c>
      <c r="L1982" s="79" t="str">
        <f>IFERROR(AVERAGEIFS(Table1[Final Score],Table1[Month],Table1[[#This Row],[Month]],Table1[Year],Table1[[#This Row],[Year]],Table1[Mechanic Name],Table1[[#This Row],[Mechanic Name]]),"")</f>
        <v/>
      </c>
    </row>
    <row r="1983" spans="3:12" hidden="1" x14ac:dyDescent="0.35">
      <c r="C1983" s="80"/>
      <c r="K1983" s="81">
        <f>SUM(Table1[[#This Row],[Technical Knowledge]:[Repeat job nahin aana]])/6</f>
        <v>0</v>
      </c>
      <c r="L1983" s="79" t="str">
        <f>IFERROR(AVERAGEIFS(Table1[Final Score],Table1[Month],Table1[[#This Row],[Month]],Table1[Year],Table1[[#This Row],[Year]],Table1[Mechanic Name],Table1[[#This Row],[Mechanic Name]]),"")</f>
        <v/>
      </c>
    </row>
    <row r="1984" spans="3:12" hidden="1" x14ac:dyDescent="0.35">
      <c r="C1984" s="80"/>
      <c r="K1984" s="81">
        <f>SUM(Table1[[#This Row],[Technical Knowledge]:[Repeat job nahin aana]])/6</f>
        <v>0</v>
      </c>
      <c r="L1984" s="79" t="str">
        <f>IFERROR(AVERAGEIFS(Table1[Final Score],Table1[Month],Table1[[#This Row],[Month]],Table1[Year],Table1[[#This Row],[Year]],Table1[Mechanic Name],Table1[[#This Row],[Mechanic Name]]),"")</f>
        <v/>
      </c>
    </row>
    <row r="1985" spans="3:12" hidden="1" x14ac:dyDescent="0.35">
      <c r="C1985" s="80"/>
      <c r="K1985" s="81">
        <f>SUM(Table1[[#This Row],[Technical Knowledge]:[Repeat job nahin aana]])/6</f>
        <v>0</v>
      </c>
      <c r="L1985" s="79" t="str">
        <f>IFERROR(AVERAGEIFS(Table1[Final Score],Table1[Month],Table1[[#This Row],[Month]],Table1[Year],Table1[[#This Row],[Year]],Table1[Mechanic Name],Table1[[#This Row],[Mechanic Name]]),"")</f>
        <v/>
      </c>
    </row>
    <row r="1986" spans="3:12" hidden="1" x14ac:dyDescent="0.35">
      <c r="C1986" s="80"/>
      <c r="K1986" s="81">
        <f>SUM(Table1[[#This Row],[Technical Knowledge]:[Repeat job nahin aana]])/6</f>
        <v>0</v>
      </c>
      <c r="L1986" s="79" t="str">
        <f>IFERROR(AVERAGEIFS(Table1[Final Score],Table1[Month],Table1[[#This Row],[Month]],Table1[Year],Table1[[#This Row],[Year]],Table1[Mechanic Name],Table1[[#This Row],[Mechanic Name]]),"")</f>
        <v/>
      </c>
    </row>
    <row r="1987" spans="3:12" hidden="1" x14ac:dyDescent="0.35">
      <c r="C1987" s="80"/>
      <c r="K1987" s="81">
        <f>SUM(Table1[[#This Row],[Technical Knowledge]:[Repeat job nahin aana]])/6</f>
        <v>0</v>
      </c>
      <c r="L1987" s="79" t="str">
        <f>IFERROR(AVERAGEIFS(Table1[Final Score],Table1[Month],Table1[[#This Row],[Month]],Table1[Year],Table1[[#This Row],[Year]],Table1[Mechanic Name],Table1[[#This Row],[Mechanic Name]]),"")</f>
        <v/>
      </c>
    </row>
    <row r="1988" spans="3:12" hidden="1" x14ac:dyDescent="0.35">
      <c r="C1988" s="80"/>
      <c r="K1988" s="81">
        <f>SUM(Table1[[#This Row],[Technical Knowledge]:[Repeat job nahin aana]])/6</f>
        <v>0</v>
      </c>
      <c r="L1988" s="79" t="str">
        <f>IFERROR(AVERAGEIFS(Table1[Final Score],Table1[Month],Table1[[#This Row],[Month]],Table1[Year],Table1[[#This Row],[Year]],Table1[Mechanic Name],Table1[[#This Row],[Mechanic Name]]),"")</f>
        <v/>
      </c>
    </row>
    <row r="1989" spans="3:12" hidden="1" x14ac:dyDescent="0.35">
      <c r="C1989" s="80"/>
      <c r="K1989" s="81">
        <f>SUM(Table1[[#This Row],[Technical Knowledge]:[Repeat job nahin aana]])/6</f>
        <v>0</v>
      </c>
      <c r="L1989" s="79" t="str">
        <f>IFERROR(AVERAGEIFS(Table1[Final Score],Table1[Month],Table1[[#This Row],[Month]],Table1[Year],Table1[[#This Row],[Year]],Table1[Mechanic Name],Table1[[#This Row],[Mechanic Name]]),"")</f>
        <v/>
      </c>
    </row>
    <row r="1990" spans="3:12" hidden="1" x14ac:dyDescent="0.35">
      <c r="C1990" s="80"/>
      <c r="K1990" s="81">
        <f>SUM(Table1[[#This Row],[Technical Knowledge]:[Repeat job nahin aana]])/6</f>
        <v>0</v>
      </c>
      <c r="L1990" s="79" t="str">
        <f>IFERROR(AVERAGEIFS(Table1[Final Score],Table1[Month],Table1[[#This Row],[Month]],Table1[Year],Table1[[#This Row],[Year]],Table1[Mechanic Name],Table1[[#This Row],[Mechanic Name]]),"")</f>
        <v/>
      </c>
    </row>
    <row r="1991" spans="3:12" hidden="1" x14ac:dyDescent="0.35">
      <c r="C1991" s="80"/>
      <c r="K1991" s="81">
        <f>SUM(Table1[[#This Row],[Technical Knowledge]:[Repeat job nahin aana]])/6</f>
        <v>0</v>
      </c>
      <c r="L1991" s="79" t="str">
        <f>IFERROR(AVERAGEIFS(Table1[Final Score],Table1[Month],Table1[[#This Row],[Month]],Table1[Year],Table1[[#This Row],[Year]],Table1[Mechanic Name],Table1[[#This Row],[Mechanic Name]]),"")</f>
        <v/>
      </c>
    </row>
    <row r="1992" spans="3:12" hidden="1" x14ac:dyDescent="0.35">
      <c r="C1992" s="80"/>
      <c r="K1992" s="81">
        <f>SUM(Table1[[#This Row],[Technical Knowledge]:[Repeat job nahin aana]])/6</f>
        <v>0</v>
      </c>
      <c r="L1992" s="79" t="str">
        <f>IFERROR(AVERAGEIFS(Table1[Final Score],Table1[Month],Table1[[#This Row],[Month]],Table1[Year],Table1[[#This Row],[Year]],Table1[Mechanic Name],Table1[[#This Row],[Mechanic Name]]),"")</f>
        <v/>
      </c>
    </row>
    <row r="1993" spans="3:12" hidden="1" x14ac:dyDescent="0.35">
      <c r="C1993" s="80"/>
      <c r="K1993" s="81">
        <f>SUM(Table1[[#This Row],[Technical Knowledge]:[Repeat job nahin aana]])/6</f>
        <v>0</v>
      </c>
      <c r="L1993" s="79" t="str">
        <f>IFERROR(AVERAGEIFS(Table1[Final Score],Table1[Month],Table1[[#This Row],[Month]],Table1[Year],Table1[[#This Row],[Year]],Table1[Mechanic Name],Table1[[#This Row],[Mechanic Name]]),"")</f>
        <v/>
      </c>
    </row>
    <row r="1994" spans="3:12" hidden="1" x14ac:dyDescent="0.35">
      <c r="C1994" s="80"/>
      <c r="K1994" s="81">
        <f>SUM(Table1[[#This Row],[Technical Knowledge]:[Repeat job nahin aana]])/6</f>
        <v>0</v>
      </c>
      <c r="L1994" s="79" t="str">
        <f>IFERROR(AVERAGEIFS(Table1[Final Score],Table1[Month],Table1[[#This Row],[Month]],Table1[Year],Table1[[#This Row],[Year]],Table1[Mechanic Name],Table1[[#This Row],[Mechanic Name]]),"")</f>
        <v/>
      </c>
    </row>
    <row r="1995" spans="3:12" hidden="1" x14ac:dyDescent="0.35">
      <c r="C1995" s="80"/>
      <c r="K1995" s="81">
        <f>SUM(Table1[[#This Row],[Technical Knowledge]:[Repeat job nahin aana]])/6</f>
        <v>0</v>
      </c>
      <c r="L1995" s="79" t="str">
        <f>IFERROR(AVERAGEIFS(Table1[Final Score],Table1[Month],Table1[[#This Row],[Month]],Table1[Year],Table1[[#This Row],[Year]],Table1[Mechanic Name],Table1[[#This Row],[Mechanic Name]]),"")</f>
        <v/>
      </c>
    </row>
    <row r="1996" spans="3:12" hidden="1" x14ac:dyDescent="0.35">
      <c r="C1996" s="80"/>
      <c r="K1996" s="81">
        <f>SUM(Table1[[#This Row],[Technical Knowledge]:[Repeat job nahin aana]])/6</f>
        <v>0</v>
      </c>
      <c r="L1996" s="79" t="str">
        <f>IFERROR(AVERAGEIFS(Table1[Final Score],Table1[Month],Table1[[#This Row],[Month]],Table1[Year],Table1[[#This Row],[Year]],Table1[Mechanic Name],Table1[[#This Row],[Mechanic Name]]),"")</f>
        <v/>
      </c>
    </row>
    <row r="1997" spans="3:12" hidden="1" x14ac:dyDescent="0.35">
      <c r="C1997" s="80"/>
      <c r="K1997" s="81">
        <f>SUM(Table1[[#This Row],[Technical Knowledge]:[Repeat job nahin aana]])/6</f>
        <v>0</v>
      </c>
      <c r="L1997" s="79" t="str">
        <f>IFERROR(AVERAGEIFS(Table1[Final Score],Table1[Month],Table1[[#This Row],[Month]],Table1[Year],Table1[[#This Row],[Year]],Table1[Mechanic Name],Table1[[#This Row],[Mechanic Name]]),"")</f>
        <v/>
      </c>
    </row>
    <row r="1998" spans="3:12" hidden="1" x14ac:dyDescent="0.35">
      <c r="C1998" s="80"/>
      <c r="K1998" s="81">
        <f>SUM(Table1[[#This Row],[Technical Knowledge]:[Repeat job nahin aana]])/6</f>
        <v>0</v>
      </c>
      <c r="L1998" s="79" t="str">
        <f>IFERROR(AVERAGEIFS(Table1[Final Score],Table1[Month],Table1[[#This Row],[Month]],Table1[Year],Table1[[#This Row],[Year]],Table1[Mechanic Name],Table1[[#This Row],[Mechanic Name]]),"")</f>
        <v/>
      </c>
    </row>
    <row r="1999" spans="3:12" hidden="1" x14ac:dyDescent="0.35">
      <c r="C1999" s="80"/>
      <c r="K1999" s="81">
        <f>SUM(Table1[[#This Row],[Technical Knowledge]:[Repeat job nahin aana]])/6</f>
        <v>0</v>
      </c>
      <c r="L1999" s="79" t="str">
        <f>IFERROR(AVERAGEIFS(Table1[Final Score],Table1[Month],Table1[[#This Row],[Month]],Table1[Year],Table1[[#This Row],[Year]],Table1[Mechanic Name],Table1[[#This Row],[Mechanic Name]]),"")</f>
        <v/>
      </c>
    </row>
    <row r="2000" spans="3:12" hidden="1" x14ac:dyDescent="0.35">
      <c r="C2000" s="80"/>
      <c r="K2000" s="81">
        <f>SUM(Table1[[#This Row],[Technical Knowledge]:[Repeat job nahin aana]])/6</f>
        <v>0</v>
      </c>
      <c r="L2000" s="79" t="str">
        <f>IFERROR(AVERAGEIFS(Table1[Final Score],Table1[Month],Table1[[#This Row],[Month]],Table1[Year],Table1[[#This Row],[Year]],Table1[Mechanic Name],Table1[[#This Row],[Mechanic Name]]),"")</f>
        <v/>
      </c>
    </row>
  </sheetData>
  <sheetProtection sheet="1" objects="1" scenarios="1" formatCells="0" formatColumns="0" formatRows="0" autoFilter="0"/>
  <phoneticPr fontId="8" type="noConversion"/>
  <dataValidations count="2">
    <dataValidation type="list" allowBlank="1" showInputMessage="1" showErrorMessage="1" sqref="C2:C2000" xr:uid="{3F69719F-E97D-4CBE-9879-1F304DE9744D}">
      <formula1>"Week 1, Week 2, Week 3, Week 4"</formula1>
    </dataValidation>
    <dataValidation type="list" allowBlank="1" showInputMessage="1" showErrorMessage="1" sqref="D2:D2000" xr:uid="{C50D0D92-7D4B-4428-9CF6-DA50EAB5C83D}">
      <formula1>$X$2:$X$37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BC4B-80F8-4206-8CA1-B3D175AFCA6B}">
  <sheetPr>
    <tabColor theme="4" tint="0.59999389629810485"/>
    <pageSetUpPr fitToPage="1"/>
  </sheetPr>
  <dimension ref="A1:M62"/>
  <sheetViews>
    <sheetView workbookViewId="0">
      <selection activeCell="B13" sqref="B13"/>
    </sheetView>
  </sheetViews>
  <sheetFormatPr defaultRowHeight="14.5" x14ac:dyDescent="0.35"/>
  <cols>
    <col min="1" max="1" width="30.453125" customWidth="1"/>
    <col min="2" max="6" width="11.81640625" customWidth="1"/>
  </cols>
  <sheetData>
    <row r="1" spans="1:13" ht="43.5" customHeight="1" x14ac:dyDescent="0.35">
      <c r="A1" s="111" t="s">
        <v>116</v>
      </c>
      <c r="B1" s="111"/>
      <c r="C1" s="111"/>
      <c r="D1" s="111"/>
      <c r="E1" s="111"/>
      <c r="F1" s="111"/>
    </row>
    <row r="2" spans="1:13" ht="18.5" x14ac:dyDescent="0.45">
      <c r="A2" s="66" t="s">
        <v>103</v>
      </c>
      <c r="B2" s="21"/>
      <c r="C2" s="21"/>
      <c r="D2" s="21" t="s">
        <v>104</v>
      </c>
      <c r="F2" s="108"/>
    </row>
    <row r="3" spans="1:13" ht="37.5" customHeight="1" x14ac:dyDescent="0.35">
      <c r="A3" s="65" t="s">
        <v>105</v>
      </c>
      <c r="B3" s="42" t="s">
        <v>32</v>
      </c>
      <c r="C3" s="42" t="s">
        <v>31</v>
      </c>
      <c r="D3" s="42" t="s">
        <v>36</v>
      </c>
      <c r="E3" s="42" t="s">
        <v>30</v>
      </c>
      <c r="F3" s="42" t="s">
        <v>29</v>
      </c>
    </row>
    <row r="4" spans="1:13" ht="15.5" x14ac:dyDescent="0.35">
      <c r="A4" s="51" t="s">
        <v>34</v>
      </c>
      <c r="B4" s="43">
        <v>1</v>
      </c>
      <c r="C4" s="43">
        <v>2</v>
      </c>
      <c r="D4" s="43">
        <v>3</v>
      </c>
      <c r="E4" s="43">
        <v>4</v>
      </c>
      <c r="F4" s="43">
        <v>5</v>
      </c>
    </row>
    <row r="5" spans="1:13" ht="15.5" x14ac:dyDescent="0.35">
      <c r="A5" s="52" t="s">
        <v>96</v>
      </c>
      <c r="B5" s="27"/>
      <c r="C5" s="27"/>
      <c r="D5" s="27"/>
      <c r="E5" s="27"/>
      <c r="F5" s="27"/>
    </row>
    <row r="6" spans="1:13" ht="15.5" x14ac:dyDescent="0.35">
      <c r="A6" s="52" t="s">
        <v>108</v>
      </c>
      <c r="B6" s="27"/>
      <c r="C6" s="27"/>
      <c r="D6" s="27"/>
      <c r="E6" s="27"/>
      <c r="F6" s="27"/>
      <c r="H6" s="63"/>
      <c r="I6" s="63"/>
      <c r="J6" s="63"/>
      <c r="K6" s="63"/>
      <c r="L6" s="63"/>
      <c r="M6" s="63"/>
    </row>
    <row r="7" spans="1:13" ht="15.5" x14ac:dyDescent="0.35">
      <c r="A7" s="52" t="s">
        <v>98</v>
      </c>
      <c r="B7" s="27"/>
      <c r="C7" s="27"/>
      <c r="D7" s="27"/>
      <c r="E7" s="27"/>
      <c r="F7" s="27"/>
    </row>
    <row r="8" spans="1:13" ht="15.5" x14ac:dyDescent="0.35">
      <c r="A8" s="52" t="s">
        <v>97</v>
      </c>
      <c r="B8" s="27"/>
      <c r="C8" s="27"/>
      <c r="D8" s="27"/>
      <c r="E8" s="27"/>
      <c r="F8" s="27"/>
    </row>
    <row r="9" spans="1:13" ht="15.5" x14ac:dyDescent="0.35">
      <c r="A9" s="52" t="s">
        <v>95</v>
      </c>
      <c r="B9" s="27"/>
      <c r="C9" s="27"/>
      <c r="D9" s="27"/>
      <c r="E9" s="27"/>
      <c r="F9" s="27"/>
    </row>
    <row r="10" spans="1:13" ht="15.5" x14ac:dyDescent="0.35">
      <c r="A10" s="52" t="s">
        <v>99</v>
      </c>
      <c r="B10" s="27"/>
      <c r="C10" s="27"/>
      <c r="D10" s="27"/>
      <c r="E10" s="27"/>
      <c r="F10" s="27"/>
    </row>
    <row r="11" spans="1:13" ht="15.5" x14ac:dyDescent="0.35">
      <c r="A11" s="64" t="s">
        <v>106</v>
      </c>
      <c r="B11" s="42"/>
      <c r="C11" s="42"/>
      <c r="D11" s="42"/>
      <c r="E11" s="42"/>
      <c r="F11" s="42"/>
    </row>
    <row r="13" spans="1:13" ht="15.5" x14ac:dyDescent="0.35">
      <c r="A13" s="67" t="s">
        <v>107</v>
      </c>
      <c r="B13" s="68"/>
    </row>
    <row r="14" spans="1:13" ht="15.5" x14ac:dyDescent="0.35">
      <c r="A14" s="72"/>
      <c r="B14" s="70"/>
    </row>
    <row r="15" spans="1:13" ht="15.5" x14ac:dyDescent="0.35">
      <c r="A15" s="65" t="s">
        <v>109</v>
      </c>
      <c r="B15" s="42" t="s">
        <v>32</v>
      </c>
      <c r="C15" s="42" t="s">
        <v>31</v>
      </c>
      <c r="D15" s="42" t="s">
        <v>36</v>
      </c>
      <c r="E15" s="42" t="s">
        <v>30</v>
      </c>
      <c r="F15" s="42" t="s">
        <v>29</v>
      </c>
    </row>
    <row r="16" spans="1:13" ht="15.5" x14ac:dyDescent="0.35">
      <c r="A16" s="51" t="s">
        <v>34</v>
      </c>
      <c r="B16" s="43">
        <v>1</v>
      </c>
      <c r="C16" s="43">
        <v>2</v>
      </c>
      <c r="D16" s="43">
        <v>3</v>
      </c>
      <c r="E16" s="43">
        <v>4</v>
      </c>
      <c r="F16" s="43">
        <v>5</v>
      </c>
    </row>
    <row r="17" spans="1:6" ht="15.5" x14ac:dyDescent="0.35">
      <c r="A17" s="52" t="s">
        <v>96</v>
      </c>
      <c r="B17" s="27"/>
      <c r="C17" s="27"/>
      <c r="D17" s="27"/>
      <c r="E17" s="27"/>
      <c r="F17" s="27">
        <v>5</v>
      </c>
    </row>
    <row r="18" spans="1:6" ht="15.5" x14ac:dyDescent="0.35">
      <c r="A18" s="52" t="s">
        <v>108</v>
      </c>
      <c r="B18" s="27"/>
      <c r="C18" s="27"/>
      <c r="D18" s="27"/>
      <c r="E18" s="27"/>
      <c r="F18" s="27">
        <v>5</v>
      </c>
    </row>
    <row r="19" spans="1:6" ht="15.5" x14ac:dyDescent="0.35">
      <c r="A19" s="52" t="s">
        <v>98</v>
      </c>
      <c r="B19" s="27"/>
      <c r="C19" s="27"/>
      <c r="D19" s="27"/>
      <c r="E19" s="27"/>
      <c r="F19" s="27">
        <v>5</v>
      </c>
    </row>
    <row r="20" spans="1:6" ht="15.5" x14ac:dyDescent="0.35">
      <c r="A20" s="52" t="s">
        <v>97</v>
      </c>
      <c r="B20" s="27"/>
      <c r="C20" s="27"/>
      <c r="D20" s="27"/>
      <c r="E20" s="27">
        <v>4</v>
      </c>
      <c r="F20" s="27"/>
    </row>
    <row r="21" spans="1:6" ht="15.5" x14ac:dyDescent="0.35">
      <c r="A21" s="52" t="s">
        <v>95</v>
      </c>
      <c r="B21" s="27"/>
      <c r="C21" s="27"/>
      <c r="D21" s="27"/>
      <c r="E21" s="27"/>
      <c r="F21" s="27">
        <v>5</v>
      </c>
    </row>
    <row r="22" spans="1:6" ht="15.5" x14ac:dyDescent="0.35">
      <c r="A22" s="52" t="s">
        <v>99</v>
      </c>
      <c r="B22" s="27"/>
      <c r="C22" s="27"/>
      <c r="D22" s="27"/>
      <c r="E22" s="27"/>
      <c r="F22" s="27">
        <v>5</v>
      </c>
    </row>
    <row r="23" spans="1:6" ht="15.5" x14ac:dyDescent="0.35">
      <c r="A23" s="64" t="s">
        <v>106</v>
      </c>
      <c r="B23" s="42"/>
      <c r="C23" s="42"/>
      <c r="D23" s="42"/>
      <c r="E23" s="42">
        <v>4</v>
      </c>
      <c r="F23" s="42">
        <v>25</v>
      </c>
    </row>
    <row r="25" spans="1:6" ht="15.5" x14ac:dyDescent="0.35">
      <c r="A25" s="67" t="s">
        <v>115</v>
      </c>
      <c r="B25" s="68">
        <v>29</v>
      </c>
    </row>
    <row r="26" spans="1:6" ht="15.5" x14ac:dyDescent="0.35">
      <c r="A26" s="72"/>
      <c r="B26" s="70"/>
    </row>
    <row r="27" spans="1:6" ht="15.5" x14ac:dyDescent="0.35">
      <c r="A27" s="65" t="s">
        <v>110</v>
      </c>
      <c r="B27" s="42" t="s">
        <v>32</v>
      </c>
      <c r="C27" s="42" t="s">
        <v>31</v>
      </c>
      <c r="D27" s="42" t="s">
        <v>36</v>
      </c>
      <c r="E27" s="42" t="s">
        <v>30</v>
      </c>
      <c r="F27" s="42" t="s">
        <v>29</v>
      </c>
    </row>
    <row r="28" spans="1:6" ht="15.5" x14ac:dyDescent="0.35">
      <c r="A28" s="51" t="s">
        <v>34</v>
      </c>
      <c r="B28" s="43">
        <v>1</v>
      </c>
      <c r="C28" s="43">
        <v>2</v>
      </c>
      <c r="D28" s="43">
        <v>3</v>
      </c>
      <c r="E28" s="43">
        <v>4</v>
      </c>
      <c r="F28" s="43">
        <v>5</v>
      </c>
    </row>
    <row r="29" spans="1:6" ht="15.5" x14ac:dyDescent="0.35">
      <c r="A29" s="52" t="s">
        <v>96</v>
      </c>
      <c r="B29" s="27"/>
      <c r="C29" s="27"/>
      <c r="D29" s="27"/>
      <c r="E29" s="27"/>
      <c r="F29" s="27"/>
    </row>
    <row r="30" spans="1:6" ht="15.5" x14ac:dyDescent="0.35">
      <c r="A30" s="52" t="s">
        <v>108</v>
      </c>
      <c r="B30" s="27"/>
      <c r="C30" s="27"/>
      <c r="D30" s="27"/>
      <c r="E30" s="27"/>
      <c r="F30" s="27"/>
    </row>
    <row r="31" spans="1:6" ht="15.5" x14ac:dyDescent="0.35">
      <c r="A31" s="52" t="s">
        <v>98</v>
      </c>
      <c r="B31" s="27"/>
      <c r="C31" s="27"/>
      <c r="D31" s="27"/>
      <c r="E31" s="27"/>
      <c r="F31" s="27"/>
    </row>
    <row r="32" spans="1:6" ht="15.5" x14ac:dyDescent="0.35">
      <c r="A32" s="52" t="s">
        <v>97</v>
      </c>
      <c r="B32" s="27"/>
      <c r="C32" s="27"/>
      <c r="D32" s="27"/>
      <c r="E32" s="27"/>
      <c r="F32" s="27"/>
    </row>
    <row r="33" spans="1:6" ht="15.5" x14ac:dyDescent="0.35">
      <c r="A33" s="52" t="s">
        <v>95</v>
      </c>
      <c r="B33" s="27"/>
      <c r="C33" s="27"/>
      <c r="D33" s="27"/>
      <c r="E33" s="27"/>
      <c r="F33" s="27"/>
    </row>
    <row r="34" spans="1:6" ht="15.5" x14ac:dyDescent="0.35">
      <c r="A34" s="52" t="s">
        <v>99</v>
      </c>
      <c r="B34" s="27"/>
      <c r="C34" s="27"/>
      <c r="D34" s="27"/>
      <c r="E34" s="27"/>
      <c r="F34" s="27"/>
    </row>
    <row r="35" spans="1:6" ht="15.5" x14ac:dyDescent="0.35">
      <c r="A35" s="64" t="s">
        <v>106</v>
      </c>
      <c r="B35" s="42"/>
      <c r="C35" s="42"/>
      <c r="D35" s="42"/>
      <c r="E35" s="42"/>
      <c r="F35" s="42"/>
    </row>
    <row r="37" spans="1:6" ht="15.5" x14ac:dyDescent="0.35">
      <c r="A37" s="67" t="s">
        <v>114</v>
      </c>
      <c r="B37" s="68"/>
    </row>
    <row r="38" spans="1:6" ht="15.5" x14ac:dyDescent="0.35">
      <c r="A38" s="72"/>
      <c r="B38" s="70"/>
    </row>
    <row r="39" spans="1:6" ht="15.5" x14ac:dyDescent="0.35">
      <c r="A39" s="65" t="s">
        <v>111</v>
      </c>
      <c r="B39" s="42" t="s">
        <v>32</v>
      </c>
      <c r="C39" s="42" t="s">
        <v>31</v>
      </c>
      <c r="D39" s="42" t="s">
        <v>36</v>
      </c>
      <c r="E39" s="42" t="s">
        <v>30</v>
      </c>
      <c r="F39" s="42" t="s">
        <v>29</v>
      </c>
    </row>
    <row r="40" spans="1:6" ht="15.5" x14ac:dyDescent="0.35">
      <c r="A40" s="51" t="s">
        <v>34</v>
      </c>
      <c r="B40" s="43">
        <v>1</v>
      </c>
      <c r="C40" s="43">
        <v>2</v>
      </c>
      <c r="D40" s="43">
        <v>3</v>
      </c>
      <c r="E40" s="43">
        <v>4</v>
      </c>
      <c r="F40" s="43">
        <v>5</v>
      </c>
    </row>
    <row r="41" spans="1:6" ht="15.5" x14ac:dyDescent="0.35">
      <c r="A41" s="52" t="s">
        <v>96</v>
      </c>
      <c r="B41" s="27"/>
      <c r="C41" s="27"/>
      <c r="D41" s="27"/>
      <c r="E41" s="27"/>
      <c r="F41" s="27"/>
    </row>
    <row r="42" spans="1:6" ht="15.5" x14ac:dyDescent="0.35">
      <c r="A42" s="52" t="s">
        <v>108</v>
      </c>
      <c r="B42" s="27"/>
      <c r="C42" s="27"/>
      <c r="D42" s="27"/>
      <c r="E42" s="27"/>
      <c r="F42" s="27"/>
    </row>
    <row r="43" spans="1:6" ht="15.5" x14ac:dyDescent="0.35">
      <c r="A43" s="52" t="s">
        <v>98</v>
      </c>
      <c r="B43" s="27"/>
      <c r="C43" s="27"/>
      <c r="D43" s="27"/>
      <c r="E43" s="27"/>
      <c r="F43" s="27"/>
    </row>
    <row r="44" spans="1:6" ht="15.5" x14ac:dyDescent="0.35">
      <c r="A44" s="52" t="s">
        <v>97</v>
      </c>
      <c r="B44" s="27"/>
      <c r="C44" s="27"/>
      <c r="D44" s="27"/>
      <c r="E44" s="27"/>
      <c r="F44" s="27"/>
    </row>
    <row r="45" spans="1:6" ht="15.5" x14ac:dyDescent="0.35">
      <c r="A45" s="52" t="s">
        <v>95</v>
      </c>
      <c r="B45" s="27"/>
      <c r="C45" s="27"/>
      <c r="D45" s="27"/>
      <c r="E45" s="27"/>
      <c r="F45" s="27"/>
    </row>
    <row r="46" spans="1:6" ht="15.5" x14ac:dyDescent="0.35">
      <c r="A46" s="52" t="s">
        <v>99</v>
      </c>
      <c r="B46" s="27"/>
      <c r="C46" s="27"/>
      <c r="D46" s="27"/>
      <c r="E46" s="27"/>
      <c r="F46" s="27"/>
    </row>
    <row r="47" spans="1:6" ht="15.5" x14ac:dyDescent="0.35">
      <c r="A47" s="64" t="s">
        <v>106</v>
      </c>
      <c r="B47" s="42"/>
      <c r="C47" s="42"/>
      <c r="D47" s="42"/>
      <c r="E47" s="42"/>
      <c r="F47" s="42"/>
    </row>
    <row r="49" spans="1:6" ht="15.5" x14ac:dyDescent="0.35">
      <c r="A49" s="67" t="s">
        <v>113</v>
      </c>
      <c r="B49" s="68"/>
    </row>
    <row r="50" spans="1:6" ht="15.5" x14ac:dyDescent="0.35">
      <c r="A50" s="69"/>
      <c r="B50" s="70"/>
    </row>
    <row r="51" spans="1:6" ht="15.5" x14ac:dyDescent="0.35">
      <c r="A51" s="54" t="s">
        <v>112</v>
      </c>
      <c r="B51" s="30"/>
      <c r="C51" s="39"/>
      <c r="D51" s="39"/>
      <c r="E51" s="39"/>
      <c r="F51" s="39"/>
    </row>
    <row r="52" spans="1:6" ht="15.5" x14ac:dyDescent="0.35">
      <c r="A52" s="62"/>
      <c r="B52" s="71"/>
      <c r="C52" s="71"/>
      <c r="D52" s="39" t="s">
        <v>117</v>
      </c>
      <c r="E52" s="71"/>
      <c r="F52" s="71"/>
    </row>
    <row r="53" spans="1:6" ht="15.5" x14ac:dyDescent="0.35">
      <c r="A53" s="62"/>
      <c r="B53" s="71"/>
      <c r="C53" s="71"/>
      <c r="D53" s="39"/>
      <c r="E53" s="71"/>
      <c r="F53" s="71"/>
    </row>
    <row r="54" spans="1:6" ht="15.5" x14ac:dyDescent="0.35">
      <c r="A54" s="62"/>
      <c r="B54" s="71"/>
      <c r="C54" s="71"/>
      <c r="D54" s="39" t="s">
        <v>118</v>
      </c>
      <c r="E54" s="71"/>
      <c r="F54" s="71"/>
    </row>
    <row r="55" spans="1:6" ht="15.5" x14ac:dyDescent="0.35">
      <c r="A55" s="62"/>
      <c r="B55" s="71"/>
      <c r="C55" s="71"/>
      <c r="D55" s="71"/>
      <c r="E55" s="71"/>
      <c r="F55" s="71"/>
    </row>
    <row r="56" spans="1:6" ht="15.5" x14ac:dyDescent="0.35">
      <c r="A56" s="62"/>
      <c r="B56" s="71"/>
      <c r="C56" s="71"/>
      <c r="D56" s="71"/>
      <c r="E56" s="71"/>
      <c r="F56" s="71"/>
    </row>
    <row r="57" spans="1:6" ht="15.5" x14ac:dyDescent="0.35">
      <c r="A57" s="62"/>
      <c r="B57" s="71"/>
      <c r="C57" s="71"/>
      <c r="D57" s="71"/>
      <c r="E57" s="71"/>
      <c r="F57" s="71"/>
    </row>
    <row r="58" spans="1:6" ht="15.5" x14ac:dyDescent="0.35">
      <c r="A58" s="62"/>
      <c r="B58" s="39"/>
      <c r="C58" s="39"/>
      <c r="D58" s="39"/>
      <c r="E58" s="39"/>
      <c r="F58" s="39"/>
    </row>
    <row r="60" spans="1:6" ht="15.5" x14ac:dyDescent="0.35">
      <c r="A60" s="72"/>
    </row>
    <row r="61" spans="1:6" ht="15.5" x14ac:dyDescent="0.35">
      <c r="A61" s="62"/>
      <c r="B61" s="39"/>
      <c r="C61" s="39"/>
      <c r="D61" s="39"/>
      <c r="E61" s="39"/>
      <c r="F61" s="39"/>
    </row>
    <row r="62" spans="1:6" ht="15.5" x14ac:dyDescent="0.35">
      <c r="A62" s="62"/>
      <c r="B62" s="39"/>
      <c r="C62" s="39"/>
      <c r="D62" s="39"/>
      <c r="E62" s="39"/>
      <c r="F62" s="39"/>
    </row>
  </sheetData>
  <mergeCells count="1">
    <mergeCell ref="A1:F1"/>
  </mergeCells>
  <phoneticPr fontId="8" type="noConversion"/>
  <printOptions horizontalCentered="1"/>
  <pageMargins left="0.70866141732283472" right="0.70866141732283472" top="0.41" bottom="0.44" header="0.23622047244094491" footer="0.31496062992125984"/>
  <pageSetup scale="81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CE2F-21F2-4383-916D-A1D85093D669}">
  <dimension ref="A1:M35"/>
  <sheetViews>
    <sheetView topLeftCell="A22" workbookViewId="0">
      <selection activeCell="F35" sqref="F35"/>
    </sheetView>
  </sheetViews>
  <sheetFormatPr defaultRowHeight="14.5" x14ac:dyDescent="0.35"/>
  <cols>
    <col min="1" max="1" width="49.7265625" bestFit="1" customWidth="1"/>
    <col min="2" max="2" width="8.81640625" bestFit="1" customWidth="1"/>
    <col min="8" max="8" width="49.7265625" bestFit="1" customWidth="1"/>
  </cols>
  <sheetData>
    <row r="1" spans="1:13" ht="19" thickBot="1" x14ac:dyDescent="0.5">
      <c r="A1" s="112" t="s">
        <v>139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4"/>
    </row>
    <row r="2" spans="1:13" ht="15.5" x14ac:dyDescent="0.35">
      <c r="A2" s="90" t="s">
        <v>137</v>
      </c>
      <c r="B2" s="88" t="s">
        <v>32</v>
      </c>
      <c r="C2" s="88" t="s">
        <v>31</v>
      </c>
      <c r="D2" s="88" t="s">
        <v>36</v>
      </c>
      <c r="E2" s="88" t="s">
        <v>30</v>
      </c>
      <c r="F2" s="88" t="s">
        <v>29</v>
      </c>
      <c r="H2" s="89" t="s">
        <v>138</v>
      </c>
      <c r="I2" s="88" t="s">
        <v>32</v>
      </c>
      <c r="J2" s="88" t="s">
        <v>31</v>
      </c>
      <c r="K2" s="88" t="s">
        <v>36</v>
      </c>
      <c r="L2" s="88" t="s">
        <v>30</v>
      </c>
      <c r="M2" s="91" t="s">
        <v>29</v>
      </c>
    </row>
    <row r="3" spans="1:13" ht="15.5" x14ac:dyDescent="0.35">
      <c r="A3" s="92" t="s">
        <v>34</v>
      </c>
      <c r="B3" s="43">
        <v>1</v>
      </c>
      <c r="C3" s="43">
        <v>2</v>
      </c>
      <c r="D3" s="43">
        <v>3</v>
      </c>
      <c r="E3" s="43">
        <v>4</v>
      </c>
      <c r="F3" s="43">
        <v>5</v>
      </c>
      <c r="H3" s="51" t="s">
        <v>34</v>
      </c>
      <c r="I3" s="43">
        <v>1</v>
      </c>
      <c r="J3" s="43">
        <v>2</v>
      </c>
      <c r="K3" s="43">
        <v>3</v>
      </c>
      <c r="L3" s="43">
        <v>4</v>
      </c>
      <c r="M3" s="93">
        <v>5</v>
      </c>
    </row>
    <row r="4" spans="1:13" ht="19.5" customHeight="1" x14ac:dyDescent="0.35">
      <c r="A4" s="94" t="s">
        <v>125</v>
      </c>
      <c r="B4" s="27"/>
      <c r="C4" s="27"/>
      <c r="D4" s="27"/>
      <c r="E4" s="27">
        <v>4</v>
      </c>
      <c r="F4" s="27"/>
      <c r="H4" s="82" t="s">
        <v>125</v>
      </c>
      <c r="I4" s="27"/>
      <c r="J4" s="27"/>
      <c r="K4" s="27">
        <v>3</v>
      </c>
      <c r="L4" s="27"/>
      <c r="M4" s="95"/>
    </row>
    <row r="5" spans="1:13" ht="23.15" customHeight="1" x14ac:dyDescent="0.35">
      <c r="A5" s="94" t="s">
        <v>126</v>
      </c>
      <c r="B5" s="27"/>
      <c r="C5" s="27"/>
      <c r="D5" s="27">
        <v>3</v>
      </c>
      <c r="E5" s="27"/>
      <c r="F5" s="27"/>
      <c r="H5" s="82" t="s">
        <v>126</v>
      </c>
      <c r="I5" s="27"/>
      <c r="J5" s="27"/>
      <c r="K5" s="27">
        <v>3</v>
      </c>
      <c r="L5" s="27"/>
      <c r="M5" s="95"/>
    </row>
    <row r="6" spans="1:13" ht="22" customHeight="1" x14ac:dyDescent="0.35">
      <c r="A6" s="94" t="s">
        <v>130</v>
      </c>
      <c r="B6" s="27"/>
      <c r="C6" s="27"/>
      <c r="D6" s="27"/>
      <c r="E6" s="27"/>
      <c r="F6" s="27">
        <v>5</v>
      </c>
      <c r="H6" s="82" t="s">
        <v>130</v>
      </c>
      <c r="I6" s="27"/>
      <c r="J6" s="27"/>
      <c r="K6" s="27"/>
      <c r="L6" s="27"/>
      <c r="M6" s="95">
        <v>5</v>
      </c>
    </row>
    <row r="7" spans="1:13" ht="24.65" customHeight="1" x14ac:dyDescent="0.35">
      <c r="A7" s="94" t="s">
        <v>131</v>
      </c>
      <c r="B7" s="27"/>
      <c r="C7" s="27"/>
      <c r="D7" s="27"/>
      <c r="E7" s="27">
        <v>4</v>
      </c>
      <c r="F7" s="27"/>
      <c r="H7" s="82" t="s">
        <v>131</v>
      </c>
      <c r="I7" s="27"/>
      <c r="J7" s="27"/>
      <c r="K7" s="27"/>
      <c r="L7" s="27">
        <v>4</v>
      </c>
      <c r="M7" s="95"/>
    </row>
    <row r="8" spans="1:13" ht="24.65" customHeight="1" x14ac:dyDescent="0.35">
      <c r="A8" s="96"/>
      <c r="B8" s="42">
        <f>SUM(B4:B7)</f>
        <v>0</v>
      </c>
      <c r="C8" s="42">
        <f t="shared" ref="C8:F8" si="0">SUM(C4:C7)</f>
        <v>0</v>
      </c>
      <c r="D8" s="42">
        <f t="shared" si="0"/>
        <v>3</v>
      </c>
      <c r="E8" s="42">
        <f t="shared" si="0"/>
        <v>8</v>
      </c>
      <c r="F8" s="42">
        <f t="shared" si="0"/>
        <v>5</v>
      </c>
      <c r="H8" s="85"/>
      <c r="I8" s="42">
        <f>SUM(I4:I7)</f>
        <v>0</v>
      </c>
      <c r="J8" s="42">
        <f t="shared" ref="J8:M8" si="1">SUM(J4:J7)</f>
        <v>0</v>
      </c>
      <c r="K8" s="42">
        <f t="shared" si="1"/>
        <v>6</v>
      </c>
      <c r="L8" s="42">
        <f t="shared" si="1"/>
        <v>4</v>
      </c>
      <c r="M8" s="97">
        <f t="shared" si="1"/>
        <v>5</v>
      </c>
    </row>
    <row r="9" spans="1:13" ht="24.65" customHeight="1" x14ac:dyDescent="0.35">
      <c r="A9" s="96"/>
      <c r="B9" s="117"/>
      <c r="C9" s="117"/>
      <c r="D9" s="117"/>
      <c r="E9" s="117"/>
      <c r="F9" s="28">
        <f>SUM(B8:F8)/5</f>
        <v>3.2</v>
      </c>
      <c r="H9" s="85"/>
      <c r="I9" s="117"/>
      <c r="J9" s="117"/>
      <c r="K9" s="117"/>
      <c r="L9" s="117"/>
      <c r="M9" s="28">
        <f>SUM(I8:M8)/5</f>
        <v>3</v>
      </c>
    </row>
    <row r="10" spans="1:13" ht="15.5" x14ac:dyDescent="0.35">
      <c r="A10" s="90" t="s">
        <v>134</v>
      </c>
      <c r="B10" s="41" t="s">
        <v>32</v>
      </c>
      <c r="C10" s="41" t="s">
        <v>31</v>
      </c>
      <c r="D10" s="41" t="s">
        <v>36</v>
      </c>
      <c r="E10" s="41" t="s">
        <v>30</v>
      </c>
      <c r="F10" s="41" t="s">
        <v>29</v>
      </c>
      <c r="H10" s="84" t="s">
        <v>134</v>
      </c>
      <c r="I10" s="41" t="s">
        <v>32</v>
      </c>
      <c r="J10" s="41" t="s">
        <v>31</v>
      </c>
      <c r="K10" s="41" t="s">
        <v>36</v>
      </c>
      <c r="L10" s="41" t="s">
        <v>30</v>
      </c>
      <c r="M10" s="98" t="s">
        <v>29</v>
      </c>
    </row>
    <row r="11" spans="1:13" ht="15.5" x14ac:dyDescent="0.35">
      <c r="A11" s="99" t="s">
        <v>34</v>
      </c>
      <c r="B11" s="43">
        <v>1</v>
      </c>
      <c r="C11" s="43">
        <v>2</v>
      </c>
      <c r="D11" s="43">
        <v>3</v>
      </c>
      <c r="E11" s="43">
        <v>4</v>
      </c>
      <c r="F11" s="43">
        <v>5</v>
      </c>
      <c r="H11" s="43" t="s">
        <v>34</v>
      </c>
      <c r="I11" s="43">
        <v>1</v>
      </c>
      <c r="J11" s="43">
        <v>2</v>
      </c>
      <c r="K11" s="43">
        <v>3</v>
      </c>
      <c r="L11" s="43">
        <v>4</v>
      </c>
      <c r="M11" s="93">
        <v>5</v>
      </c>
    </row>
    <row r="12" spans="1:13" ht="22.5" customHeight="1" x14ac:dyDescent="0.35">
      <c r="A12" s="94" t="s">
        <v>125</v>
      </c>
      <c r="B12" s="27"/>
      <c r="C12" s="27"/>
      <c r="D12" s="27">
        <v>3</v>
      </c>
      <c r="E12" s="27"/>
      <c r="F12" s="27"/>
      <c r="H12" s="82" t="s">
        <v>125</v>
      </c>
      <c r="I12" s="27"/>
      <c r="J12" s="27"/>
      <c r="K12" s="27"/>
      <c r="L12" s="27">
        <v>4</v>
      </c>
      <c r="M12" s="95"/>
    </row>
    <row r="13" spans="1:13" ht="25" customHeight="1" x14ac:dyDescent="0.35">
      <c r="A13" s="94" t="s">
        <v>126</v>
      </c>
      <c r="B13" s="27"/>
      <c r="C13" s="27"/>
      <c r="D13" s="27">
        <v>3</v>
      </c>
      <c r="E13" s="27"/>
      <c r="F13" s="27"/>
      <c r="H13" s="82" t="s">
        <v>126</v>
      </c>
      <c r="I13" s="27"/>
      <c r="J13" s="27"/>
      <c r="K13" s="27"/>
      <c r="L13" s="27">
        <v>4</v>
      </c>
      <c r="M13" s="95"/>
    </row>
    <row r="14" spans="1:13" ht="21.65" customHeight="1" x14ac:dyDescent="0.35">
      <c r="A14" s="94" t="s">
        <v>130</v>
      </c>
      <c r="B14" s="27"/>
      <c r="C14" s="27"/>
      <c r="D14" s="27"/>
      <c r="E14" s="27"/>
      <c r="F14" s="27">
        <v>5</v>
      </c>
      <c r="H14" s="82" t="s">
        <v>130</v>
      </c>
      <c r="I14" s="27"/>
      <c r="J14" s="27"/>
      <c r="K14" s="27"/>
      <c r="L14" s="27"/>
      <c r="M14" s="95">
        <v>5</v>
      </c>
    </row>
    <row r="15" spans="1:13" ht="23.5" customHeight="1" x14ac:dyDescent="0.35">
      <c r="A15" s="94" t="s">
        <v>131</v>
      </c>
      <c r="B15" s="27"/>
      <c r="C15" s="27"/>
      <c r="D15" s="27"/>
      <c r="E15" s="27">
        <v>4</v>
      </c>
      <c r="F15" s="27"/>
      <c r="H15" s="82" t="s">
        <v>131</v>
      </c>
      <c r="I15" s="27"/>
      <c r="J15" s="27"/>
      <c r="K15" s="27">
        <v>3</v>
      </c>
      <c r="L15" s="27"/>
      <c r="M15" s="95"/>
    </row>
    <row r="16" spans="1:13" ht="15.5" x14ac:dyDescent="0.35">
      <c r="A16" s="100"/>
      <c r="B16" s="42">
        <f>SUM(B12:B15)</f>
        <v>0</v>
      </c>
      <c r="C16" s="42">
        <f t="shared" ref="C16:F16" si="2">SUM(C12:C15)</f>
        <v>0</v>
      </c>
      <c r="D16" s="42">
        <f t="shared" si="2"/>
        <v>6</v>
      </c>
      <c r="E16" s="42">
        <f t="shared" si="2"/>
        <v>4</v>
      </c>
      <c r="F16" s="42">
        <f t="shared" si="2"/>
        <v>5</v>
      </c>
      <c r="H16" s="86"/>
      <c r="I16" s="42">
        <f>SUM(I12:I15)</f>
        <v>0</v>
      </c>
      <c r="J16" s="42">
        <f t="shared" ref="J16:M16" si="3">SUM(J12:J15)</f>
        <v>0</v>
      </c>
      <c r="K16" s="42">
        <f t="shared" si="3"/>
        <v>3</v>
      </c>
      <c r="L16" s="42">
        <f t="shared" si="3"/>
        <v>8</v>
      </c>
      <c r="M16" s="97">
        <f t="shared" si="3"/>
        <v>5</v>
      </c>
    </row>
    <row r="17" spans="1:13" ht="15.5" x14ac:dyDescent="0.35">
      <c r="A17" s="100"/>
      <c r="B17" s="117"/>
      <c r="C17" s="117"/>
      <c r="D17" s="117"/>
      <c r="E17" s="117"/>
      <c r="F17" s="28">
        <f>SUM(B16:F16)/5</f>
        <v>3</v>
      </c>
      <c r="H17" s="86"/>
      <c r="I17" s="117"/>
      <c r="J17" s="117"/>
      <c r="K17" s="117"/>
      <c r="L17" s="117"/>
      <c r="M17" s="28">
        <f>SUM(I16:M16)/5</f>
        <v>3.2</v>
      </c>
    </row>
    <row r="18" spans="1:13" ht="15.5" x14ac:dyDescent="0.35">
      <c r="A18" s="101" t="s">
        <v>135</v>
      </c>
      <c r="B18" s="41" t="s">
        <v>32</v>
      </c>
      <c r="C18" s="41" t="s">
        <v>31</v>
      </c>
      <c r="D18" s="41" t="s">
        <v>36</v>
      </c>
      <c r="E18" s="41" t="s">
        <v>30</v>
      </c>
      <c r="F18" s="41" t="s">
        <v>29</v>
      </c>
      <c r="H18" s="87" t="s">
        <v>135</v>
      </c>
      <c r="I18" s="41" t="s">
        <v>32</v>
      </c>
      <c r="J18" s="41" t="s">
        <v>31</v>
      </c>
      <c r="K18" s="41" t="s">
        <v>36</v>
      </c>
      <c r="L18" s="41" t="s">
        <v>30</v>
      </c>
      <c r="M18" s="98" t="s">
        <v>29</v>
      </c>
    </row>
    <row r="19" spans="1:13" ht="15.5" x14ac:dyDescent="0.35">
      <c r="A19" s="99" t="s">
        <v>34</v>
      </c>
      <c r="B19" s="43">
        <v>1</v>
      </c>
      <c r="C19" s="43">
        <v>2</v>
      </c>
      <c r="D19" s="43">
        <v>3</v>
      </c>
      <c r="E19" s="43">
        <v>4</v>
      </c>
      <c r="F19" s="43">
        <v>5</v>
      </c>
      <c r="H19" s="43" t="s">
        <v>34</v>
      </c>
      <c r="I19" s="43">
        <v>1</v>
      </c>
      <c r="J19" s="43">
        <v>2</v>
      </c>
      <c r="K19" s="43">
        <v>3</v>
      </c>
      <c r="L19" s="43">
        <v>4</v>
      </c>
      <c r="M19" s="93">
        <v>5</v>
      </c>
    </row>
    <row r="20" spans="1:13" ht="24.65" customHeight="1" x14ac:dyDescent="0.35">
      <c r="A20" s="94" t="s">
        <v>125</v>
      </c>
      <c r="B20" s="27"/>
      <c r="C20" s="27"/>
      <c r="D20" s="27"/>
      <c r="E20" s="27">
        <v>4</v>
      </c>
      <c r="F20" s="27"/>
      <c r="H20" s="82" t="s">
        <v>125</v>
      </c>
      <c r="I20" s="27"/>
      <c r="J20" s="27"/>
      <c r="K20" s="27"/>
      <c r="L20" s="27">
        <v>4</v>
      </c>
      <c r="M20" s="95"/>
    </row>
    <row r="21" spans="1:13" ht="20.149999999999999" customHeight="1" x14ac:dyDescent="0.35">
      <c r="A21" s="94" t="s">
        <v>126</v>
      </c>
      <c r="B21" s="27"/>
      <c r="C21" s="27">
        <v>2</v>
      </c>
      <c r="D21" s="27"/>
      <c r="E21" s="27"/>
      <c r="F21" s="27"/>
      <c r="H21" s="82" t="s">
        <v>126</v>
      </c>
      <c r="I21" s="27"/>
      <c r="J21" s="27">
        <v>2</v>
      </c>
      <c r="K21" s="27"/>
      <c r="L21" s="27"/>
      <c r="M21" s="95"/>
    </row>
    <row r="22" spans="1:13" ht="24" customHeight="1" x14ac:dyDescent="0.35">
      <c r="A22" s="94" t="s">
        <v>130</v>
      </c>
      <c r="B22" s="27"/>
      <c r="C22" s="27"/>
      <c r="D22" s="27"/>
      <c r="E22" s="27">
        <v>4</v>
      </c>
      <c r="F22" s="27"/>
      <c r="H22" s="82" t="s">
        <v>130</v>
      </c>
      <c r="I22" s="27"/>
      <c r="J22" s="27"/>
      <c r="K22" s="27"/>
      <c r="L22" s="27">
        <v>4</v>
      </c>
      <c r="M22" s="95"/>
    </row>
    <row r="23" spans="1:13" ht="22.5" customHeight="1" x14ac:dyDescent="0.35">
      <c r="A23" s="94" t="s">
        <v>131</v>
      </c>
      <c r="B23" s="27"/>
      <c r="C23" s="27"/>
      <c r="D23" s="27"/>
      <c r="E23" s="27">
        <v>4</v>
      </c>
      <c r="F23" s="27"/>
      <c r="H23" s="82" t="s">
        <v>131</v>
      </c>
      <c r="I23" s="27"/>
      <c r="J23" s="27"/>
      <c r="K23" s="27"/>
      <c r="L23" s="27">
        <v>4</v>
      </c>
      <c r="M23" s="95"/>
    </row>
    <row r="24" spans="1:13" ht="15.5" x14ac:dyDescent="0.35">
      <c r="A24" s="100"/>
      <c r="B24" s="42">
        <f>SUM(B20:B23)</f>
        <v>0</v>
      </c>
      <c r="C24" s="42">
        <f t="shared" ref="C24:F24" si="4">SUM(C20:C23)</f>
        <v>2</v>
      </c>
      <c r="D24" s="42">
        <f t="shared" si="4"/>
        <v>0</v>
      </c>
      <c r="E24" s="42">
        <f t="shared" si="4"/>
        <v>12</v>
      </c>
      <c r="F24" s="42">
        <f t="shared" si="4"/>
        <v>0</v>
      </c>
      <c r="H24" s="86"/>
      <c r="I24" s="42">
        <f>SUM(I20:I23)</f>
        <v>0</v>
      </c>
      <c r="J24" s="42">
        <f t="shared" ref="J24:M24" si="5">SUM(J20:J23)</f>
        <v>2</v>
      </c>
      <c r="K24" s="42">
        <f t="shared" si="5"/>
        <v>0</v>
      </c>
      <c r="L24" s="42">
        <f t="shared" si="5"/>
        <v>12</v>
      </c>
      <c r="M24" s="97">
        <f t="shared" si="5"/>
        <v>0</v>
      </c>
    </row>
    <row r="25" spans="1:13" ht="15.5" x14ac:dyDescent="0.35">
      <c r="A25" s="100"/>
      <c r="B25" s="117"/>
      <c r="C25" s="117"/>
      <c r="D25" s="117"/>
      <c r="E25" s="117"/>
      <c r="F25" s="28">
        <f>SUM(B24:F24)/5</f>
        <v>2.8</v>
      </c>
      <c r="H25" s="86"/>
      <c r="I25" s="117"/>
      <c r="J25" s="117"/>
      <c r="K25" s="117"/>
      <c r="L25" s="117"/>
      <c r="M25" s="28">
        <f>SUM(I24:M24)/5</f>
        <v>2.8</v>
      </c>
    </row>
    <row r="26" spans="1:13" ht="15.5" x14ac:dyDescent="0.35">
      <c r="A26" s="101" t="s">
        <v>136</v>
      </c>
      <c r="B26" s="41" t="s">
        <v>32</v>
      </c>
      <c r="C26" s="41" t="s">
        <v>31</v>
      </c>
      <c r="D26" s="41" t="s">
        <v>36</v>
      </c>
      <c r="E26" s="41" t="s">
        <v>30</v>
      </c>
      <c r="F26" s="41" t="s">
        <v>29</v>
      </c>
      <c r="H26" s="87" t="s">
        <v>136</v>
      </c>
      <c r="I26" s="41" t="s">
        <v>32</v>
      </c>
      <c r="J26" s="41" t="s">
        <v>31</v>
      </c>
      <c r="K26" s="41" t="s">
        <v>36</v>
      </c>
      <c r="L26" s="41" t="s">
        <v>30</v>
      </c>
      <c r="M26" s="98" t="s">
        <v>29</v>
      </c>
    </row>
    <row r="27" spans="1:13" ht="15.5" x14ac:dyDescent="0.35">
      <c r="A27" s="102" t="s">
        <v>34</v>
      </c>
      <c r="B27" s="43">
        <v>1</v>
      </c>
      <c r="C27" s="43">
        <v>2</v>
      </c>
      <c r="D27" s="43">
        <v>3</v>
      </c>
      <c r="E27" s="43">
        <v>4</v>
      </c>
      <c r="F27" s="43">
        <v>5</v>
      </c>
      <c r="H27" s="83" t="s">
        <v>34</v>
      </c>
      <c r="I27" s="43">
        <v>1</v>
      </c>
      <c r="J27" s="43">
        <v>2</v>
      </c>
      <c r="K27" s="43">
        <v>3</v>
      </c>
      <c r="L27" s="43">
        <v>4</v>
      </c>
      <c r="M27" s="93">
        <v>5</v>
      </c>
    </row>
    <row r="28" spans="1:13" ht="24.65" customHeight="1" x14ac:dyDescent="0.35">
      <c r="A28" s="94" t="s">
        <v>125</v>
      </c>
      <c r="B28" s="27"/>
      <c r="C28" s="27"/>
      <c r="D28" s="27"/>
      <c r="E28" s="27">
        <v>4</v>
      </c>
      <c r="F28" s="27"/>
      <c r="H28" s="82" t="s">
        <v>125</v>
      </c>
      <c r="I28" s="27"/>
      <c r="J28" s="27"/>
      <c r="K28" s="27"/>
      <c r="L28" s="27"/>
      <c r="M28" s="95">
        <v>5</v>
      </c>
    </row>
    <row r="29" spans="1:13" ht="24" customHeight="1" x14ac:dyDescent="0.35">
      <c r="A29" s="94" t="s">
        <v>126</v>
      </c>
      <c r="B29" s="27"/>
      <c r="C29" s="27"/>
      <c r="D29" s="27">
        <v>3</v>
      </c>
      <c r="E29" s="27"/>
      <c r="F29" s="27"/>
      <c r="H29" s="82" t="s">
        <v>126</v>
      </c>
      <c r="I29" s="27"/>
      <c r="J29" s="27"/>
      <c r="K29" s="27">
        <v>3</v>
      </c>
      <c r="L29" s="27"/>
      <c r="M29" s="95"/>
    </row>
    <row r="30" spans="1:13" ht="20.149999999999999" customHeight="1" x14ac:dyDescent="0.35">
      <c r="A30" s="94" t="s">
        <v>130</v>
      </c>
      <c r="B30" s="27"/>
      <c r="C30" s="27"/>
      <c r="D30" s="27"/>
      <c r="E30" s="27"/>
      <c r="F30" s="27">
        <v>5</v>
      </c>
      <c r="H30" s="82" t="s">
        <v>130</v>
      </c>
      <c r="I30" s="27"/>
      <c r="J30" s="27"/>
      <c r="K30" s="27"/>
      <c r="L30" s="27"/>
      <c r="M30" s="95">
        <v>5</v>
      </c>
    </row>
    <row r="31" spans="1:13" ht="26.5" customHeight="1" x14ac:dyDescent="0.35">
      <c r="A31" s="94" t="s">
        <v>131</v>
      </c>
      <c r="B31" s="27"/>
      <c r="C31" s="27"/>
      <c r="D31" s="27"/>
      <c r="E31" s="27">
        <v>4</v>
      </c>
      <c r="F31" s="27"/>
      <c r="H31" s="82" t="s">
        <v>131</v>
      </c>
      <c r="I31" s="27"/>
      <c r="J31" s="27"/>
      <c r="K31" s="27"/>
      <c r="L31" s="27">
        <v>4</v>
      </c>
      <c r="M31" s="95"/>
    </row>
    <row r="32" spans="1:13" ht="16" thickBot="1" x14ac:dyDescent="0.4">
      <c r="A32" s="103"/>
      <c r="B32" s="104">
        <f>SUM(B28:B31)</f>
        <v>0</v>
      </c>
      <c r="C32" s="104">
        <f t="shared" ref="C32:F32" si="6">SUM(C28:C31)</f>
        <v>0</v>
      </c>
      <c r="D32" s="104">
        <f t="shared" si="6"/>
        <v>3</v>
      </c>
      <c r="E32" s="104">
        <f t="shared" si="6"/>
        <v>8</v>
      </c>
      <c r="F32" s="104">
        <f t="shared" si="6"/>
        <v>5</v>
      </c>
      <c r="G32" s="105"/>
      <c r="H32" s="106"/>
      <c r="I32" s="104">
        <f>SUM(I28:I31)</f>
        <v>0</v>
      </c>
      <c r="J32" s="104">
        <f t="shared" ref="J32:M32" si="7">SUM(J28:J31)</f>
        <v>0</v>
      </c>
      <c r="K32" s="104">
        <f t="shared" si="7"/>
        <v>3</v>
      </c>
      <c r="L32" s="104">
        <f t="shared" si="7"/>
        <v>4</v>
      </c>
      <c r="M32" s="107">
        <f t="shared" si="7"/>
        <v>10</v>
      </c>
    </row>
    <row r="33" spans="2:13" ht="15.5" x14ac:dyDescent="0.35">
      <c r="B33" s="117"/>
      <c r="C33" s="117"/>
      <c r="D33" s="117"/>
      <c r="E33" s="117"/>
      <c r="F33" s="28">
        <f>SUM(B32:F32)/5</f>
        <v>3.2</v>
      </c>
      <c r="I33" s="117"/>
      <c r="J33" s="117"/>
      <c r="K33" s="117"/>
      <c r="L33" s="117"/>
      <c r="M33" s="28">
        <f>SUM(I32:M32)/5</f>
        <v>3.4</v>
      </c>
    </row>
    <row r="35" spans="2:13" x14ac:dyDescent="0.35">
      <c r="F35" s="118">
        <f>(F33+F25+F17+F9)/4</f>
        <v>3.05</v>
      </c>
      <c r="M35" s="118">
        <f>(M33+M25+M17+M9)/4</f>
        <v>3.0999999999999996</v>
      </c>
    </row>
  </sheetData>
  <mergeCells count="1">
    <mergeCell ref="A1:M1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0E49-E935-4EB4-8FF6-B7E9E165F2AA}">
  <dimension ref="A1:T34"/>
  <sheetViews>
    <sheetView tabSelected="1" topLeftCell="A22" workbookViewId="0">
      <selection activeCell="F34" sqref="F34"/>
    </sheetView>
  </sheetViews>
  <sheetFormatPr defaultRowHeight="14.5" x14ac:dyDescent="0.35"/>
  <cols>
    <col min="1" max="1" width="49.26953125" customWidth="1"/>
    <col min="5" max="5" width="8.453125" customWidth="1"/>
    <col min="6" max="6" width="8.26953125" customWidth="1"/>
    <col min="8" max="8" width="50.1796875" bestFit="1" customWidth="1"/>
    <col min="13" max="13" width="9.1796875" customWidth="1"/>
    <col min="15" max="15" width="45.1796875" bestFit="1" customWidth="1"/>
    <col min="16" max="17" width="9.81640625" customWidth="1"/>
  </cols>
  <sheetData>
    <row r="1" spans="1:20" ht="15.5" x14ac:dyDescent="0.35">
      <c r="A1" s="20" t="s">
        <v>140</v>
      </c>
      <c r="B1" s="41" t="s">
        <v>32</v>
      </c>
      <c r="C1" s="41" t="s">
        <v>31</v>
      </c>
      <c r="D1" s="41" t="s">
        <v>36</v>
      </c>
      <c r="E1" s="41" t="s">
        <v>30</v>
      </c>
      <c r="F1" s="41" t="s">
        <v>29</v>
      </c>
      <c r="H1" s="20" t="s">
        <v>141</v>
      </c>
      <c r="I1" s="41" t="s">
        <v>32</v>
      </c>
      <c r="J1" s="41" t="s">
        <v>31</v>
      </c>
      <c r="K1" s="41" t="s">
        <v>36</v>
      </c>
      <c r="L1" s="41" t="s">
        <v>30</v>
      </c>
      <c r="M1" s="41" t="s">
        <v>29</v>
      </c>
      <c r="O1" s="20" t="s">
        <v>142</v>
      </c>
      <c r="P1" s="41" t="s">
        <v>32</v>
      </c>
      <c r="Q1" s="41" t="s">
        <v>31</v>
      </c>
      <c r="R1" s="41" t="s">
        <v>36</v>
      </c>
      <c r="S1" s="41" t="s">
        <v>30</v>
      </c>
      <c r="T1" s="41" t="s">
        <v>29</v>
      </c>
    </row>
    <row r="2" spans="1:20" ht="15.5" x14ac:dyDescent="0.35">
      <c r="A2" s="43" t="s">
        <v>34</v>
      </c>
      <c r="B2" s="43">
        <v>1</v>
      </c>
      <c r="C2" s="43">
        <v>2</v>
      </c>
      <c r="D2" s="43">
        <v>3</v>
      </c>
      <c r="E2" s="43">
        <v>4</v>
      </c>
      <c r="F2" s="43">
        <v>5</v>
      </c>
      <c r="H2" s="43" t="s">
        <v>34</v>
      </c>
      <c r="I2" s="43">
        <v>1</v>
      </c>
      <c r="J2" s="43">
        <v>2</v>
      </c>
      <c r="K2" s="43">
        <v>3</v>
      </c>
      <c r="L2" s="43">
        <v>4</v>
      </c>
      <c r="M2" s="43">
        <v>5</v>
      </c>
      <c r="O2" s="43" t="s">
        <v>34</v>
      </c>
      <c r="P2" s="43">
        <v>1</v>
      </c>
      <c r="Q2" s="43">
        <v>2</v>
      </c>
      <c r="R2" s="43">
        <v>3</v>
      </c>
      <c r="S2" s="43">
        <v>4</v>
      </c>
      <c r="T2" s="43">
        <v>5</v>
      </c>
    </row>
    <row r="3" spans="1:20" ht="24" customHeight="1" x14ac:dyDescent="0.35">
      <c r="A3" s="82" t="s">
        <v>54</v>
      </c>
      <c r="B3" s="27"/>
      <c r="C3" s="27"/>
      <c r="D3" s="27">
        <v>3</v>
      </c>
      <c r="E3" s="27"/>
      <c r="F3" s="27"/>
      <c r="H3" s="82" t="s">
        <v>128</v>
      </c>
      <c r="I3" s="27"/>
      <c r="J3" s="27"/>
      <c r="K3" s="27">
        <v>3</v>
      </c>
      <c r="L3" s="27"/>
      <c r="M3" s="27"/>
      <c r="O3" s="82" t="s">
        <v>120</v>
      </c>
      <c r="P3" s="27"/>
      <c r="Q3" s="27"/>
      <c r="R3" s="27">
        <v>3</v>
      </c>
      <c r="S3" s="27"/>
      <c r="T3" s="27"/>
    </row>
    <row r="4" spans="1:20" ht="24" customHeight="1" x14ac:dyDescent="0.35">
      <c r="A4" s="82" t="s">
        <v>57</v>
      </c>
      <c r="B4" s="27"/>
      <c r="C4" s="27"/>
      <c r="D4" s="27"/>
      <c r="E4" s="27">
        <v>4</v>
      </c>
      <c r="F4" s="27"/>
      <c r="H4" s="82" t="s">
        <v>127</v>
      </c>
      <c r="I4" s="27"/>
      <c r="J4" s="27"/>
      <c r="K4" s="27"/>
      <c r="L4" s="27">
        <v>4</v>
      </c>
      <c r="M4" s="27"/>
      <c r="O4" s="82" t="s">
        <v>55</v>
      </c>
      <c r="P4" s="27"/>
      <c r="Q4" s="27"/>
      <c r="R4" s="27"/>
      <c r="S4" s="27">
        <v>4</v>
      </c>
      <c r="T4" s="27"/>
    </row>
    <row r="5" spans="1:20" ht="26.5" customHeight="1" x14ac:dyDescent="0.35">
      <c r="A5" s="82" t="s">
        <v>53</v>
      </c>
      <c r="B5" s="27"/>
      <c r="C5" s="27"/>
      <c r="D5" s="27">
        <v>3</v>
      </c>
      <c r="E5" s="27"/>
      <c r="F5" s="27"/>
      <c r="H5" s="82" t="s">
        <v>129</v>
      </c>
      <c r="I5" s="27"/>
      <c r="J5" s="27"/>
      <c r="K5" s="27"/>
      <c r="L5" s="27"/>
      <c r="M5" s="27">
        <v>5</v>
      </c>
      <c r="O5" s="82" t="s">
        <v>121</v>
      </c>
      <c r="P5" s="27"/>
      <c r="Q5" s="27"/>
      <c r="R5" s="27"/>
      <c r="S5" s="27"/>
      <c r="T5" s="27">
        <v>5</v>
      </c>
    </row>
    <row r="6" spans="1:20" ht="23.5" customHeight="1" x14ac:dyDescent="0.35">
      <c r="A6" s="82" t="s">
        <v>132</v>
      </c>
      <c r="B6" s="27"/>
      <c r="C6" s="27"/>
      <c r="D6" s="27">
        <v>3</v>
      </c>
      <c r="E6" s="27"/>
      <c r="F6" s="27"/>
      <c r="H6" s="82" t="s">
        <v>132</v>
      </c>
      <c r="I6" s="27"/>
      <c r="J6" s="27"/>
      <c r="K6" s="27">
        <v>3</v>
      </c>
      <c r="L6" s="27"/>
      <c r="M6" s="27"/>
      <c r="O6" s="82" t="s">
        <v>122</v>
      </c>
      <c r="P6" s="27"/>
      <c r="Q6" s="27"/>
      <c r="R6" s="27">
        <v>3</v>
      </c>
      <c r="S6" s="27"/>
      <c r="T6" s="27"/>
    </row>
    <row r="7" spans="1:20" ht="15.5" x14ac:dyDescent="0.35">
      <c r="A7" s="19"/>
      <c r="B7" s="42">
        <f>SUM(B3:B6)</f>
        <v>0</v>
      </c>
      <c r="C7" s="42">
        <f t="shared" ref="C7:F7" si="0">SUM(C3:C6)</f>
        <v>0</v>
      </c>
      <c r="D7" s="42">
        <f t="shared" si="0"/>
        <v>9</v>
      </c>
      <c r="E7" s="42">
        <f t="shared" si="0"/>
        <v>4</v>
      </c>
      <c r="F7" s="42">
        <f t="shared" si="0"/>
        <v>0</v>
      </c>
      <c r="H7" s="19"/>
      <c r="I7" s="42">
        <f>SUM(I3:I6)</f>
        <v>0</v>
      </c>
      <c r="J7" s="42">
        <f t="shared" ref="J7:M7" si="1">SUM(J3:J6)</f>
        <v>0</v>
      </c>
      <c r="K7" s="42">
        <f t="shared" si="1"/>
        <v>6</v>
      </c>
      <c r="L7" s="42">
        <f t="shared" si="1"/>
        <v>4</v>
      </c>
      <c r="M7" s="42">
        <f t="shared" si="1"/>
        <v>5</v>
      </c>
      <c r="O7" s="19"/>
      <c r="P7" s="42">
        <f>SUM(P3:P6)</f>
        <v>0</v>
      </c>
      <c r="Q7" s="42">
        <f t="shared" ref="Q7:T7" si="2">SUM(Q3:Q6)</f>
        <v>0</v>
      </c>
      <c r="R7" s="42">
        <f t="shared" si="2"/>
        <v>6</v>
      </c>
      <c r="S7" s="42">
        <f t="shared" si="2"/>
        <v>4</v>
      </c>
      <c r="T7" s="42">
        <f t="shared" si="2"/>
        <v>5</v>
      </c>
    </row>
    <row r="8" spans="1:20" ht="15.5" x14ac:dyDescent="0.35">
      <c r="A8" s="19"/>
      <c r="B8" s="117"/>
      <c r="C8" s="117"/>
      <c r="D8" s="117"/>
      <c r="E8" s="117"/>
      <c r="F8" s="28">
        <f>SUM(B7:F7)/5</f>
        <v>2.6</v>
      </c>
      <c r="I8" s="117"/>
      <c r="J8" s="117"/>
      <c r="K8" s="117"/>
      <c r="L8" s="117"/>
      <c r="M8" s="28">
        <f>SUM(I7:M7)/5</f>
        <v>3</v>
      </c>
      <c r="P8" s="117"/>
      <c r="Q8" s="117"/>
      <c r="R8" s="117"/>
      <c r="S8" s="117"/>
      <c r="T8" s="28">
        <f>SUM(P7:T7)/5</f>
        <v>3</v>
      </c>
    </row>
    <row r="9" spans="1:20" ht="15.5" x14ac:dyDescent="0.35">
      <c r="A9" s="20" t="s">
        <v>134</v>
      </c>
      <c r="B9" s="41" t="s">
        <v>32</v>
      </c>
      <c r="C9" s="41" t="s">
        <v>31</v>
      </c>
      <c r="D9" s="41" t="s">
        <v>36</v>
      </c>
      <c r="E9" s="41" t="s">
        <v>30</v>
      </c>
      <c r="F9" s="41" t="s">
        <v>29</v>
      </c>
      <c r="H9" s="20" t="s">
        <v>134</v>
      </c>
      <c r="I9" s="41" t="s">
        <v>32</v>
      </c>
      <c r="J9" s="41" t="s">
        <v>31</v>
      </c>
      <c r="K9" s="41" t="s">
        <v>36</v>
      </c>
      <c r="L9" s="41" t="s">
        <v>30</v>
      </c>
      <c r="M9" s="41" t="s">
        <v>29</v>
      </c>
      <c r="O9" s="20" t="s">
        <v>134</v>
      </c>
      <c r="P9" s="41" t="s">
        <v>32</v>
      </c>
      <c r="Q9" s="41" t="s">
        <v>31</v>
      </c>
      <c r="R9" s="41" t="s">
        <v>36</v>
      </c>
      <c r="S9" s="41" t="s">
        <v>30</v>
      </c>
      <c r="T9" s="41" t="s">
        <v>29</v>
      </c>
    </row>
    <row r="10" spans="1:20" ht="15.5" x14ac:dyDescent="0.35">
      <c r="A10" s="43" t="s">
        <v>34</v>
      </c>
      <c r="B10" s="43">
        <v>1</v>
      </c>
      <c r="C10" s="43">
        <v>2</v>
      </c>
      <c r="D10" s="43">
        <v>3</v>
      </c>
      <c r="E10" s="43">
        <v>4</v>
      </c>
      <c r="F10" s="43">
        <v>5</v>
      </c>
      <c r="H10" s="43" t="s">
        <v>34</v>
      </c>
      <c r="I10" s="43">
        <v>1</v>
      </c>
      <c r="J10" s="43">
        <v>2</v>
      </c>
      <c r="K10" s="43">
        <v>3</v>
      </c>
      <c r="L10" s="43">
        <v>4</v>
      </c>
      <c r="M10" s="43">
        <v>5</v>
      </c>
      <c r="O10" s="43" t="s">
        <v>34</v>
      </c>
      <c r="P10" s="43">
        <v>1</v>
      </c>
      <c r="Q10" s="43">
        <v>2</v>
      </c>
      <c r="R10" s="43">
        <v>3</v>
      </c>
      <c r="S10" s="43">
        <v>4</v>
      </c>
      <c r="T10" s="43">
        <v>5</v>
      </c>
    </row>
    <row r="11" spans="1:20" ht="26.5" customHeight="1" x14ac:dyDescent="0.35">
      <c r="A11" s="82" t="s">
        <v>54</v>
      </c>
      <c r="B11" s="27"/>
      <c r="C11" s="27"/>
      <c r="D11" s="27"/>
      <c r="E11" s="27">
        <v>4</v>
      </c>
      <c r="F11" s="27"/>
      <c r="H11" s="82" t="s">
        <v>128</v>
      </c>
      <c r="I11" s="27"/>
      <c r="J11" s="27"/>
      <c r="K11" s="27">
        <v>3</v>
      </c>
      <c r="L11" s="27"/>
      <c r="M11" s="27"/>
      <c r="O11" s="82" t="s">
        <v>120</v>
      </c>
      <c r="P11" s="27"/>
      <c r="Q11" s="27"/>
      <c r="R11" s="27">
        <v>3</v>
      </c>
      <c r="S11" s="27"/>
      <c r="T11" s="27"/>
    </row>
    <row r="12" spans="1:20" ht="24" customHeight="1" x14ac:dyDescent="0.35">
      <c r="A12" s="82" t="s">
        <v>57</v>
      </c>
      <c r="B12" s="27"/>
      <c r="C12" s="27"/>
      <c r="D12" s="27"/>
      <c r="E12" s="27">
        <v>4</v>
      </c>
      <c r="F12" s="27"/>
      <c r="H12" s="82" t="s">
        <v>127</v>
      </c>
      <c r="I12" s="27"/>
      <c r="J12" s="27"/>
      <c r="K12" s="27"/>
      <c r="L12" s="27">
        <v>4</v>
      </c>
      <c r="M12" s="27"/>
      <c r="O12" s="82" t="s">
        <v>55</v>
      </c>
      <c r="P12" s="27"/>
      <c r="Q12" s="27"/>
      <c r="R12" s="27"/>
      <c r="S12" s="27">
        <v>4</v>
      </c>
      <c r="T12" s="27"/>
    </row>
    <row r="13" spans="1:20" ht="23.5" customHeight="1" x14ac:dyDescent="0.35">
      <c r="A13" s="82" t="s">
        <v>53</v>
      </c>
      <c r="B13" s="27"/>
      <c r="C13" s="27"/>
      <c r="D13" s="27">
        <v>3</v>
      </c>
      <c r="E13" s="27"/>
      <c r="F13" s="27"/>
      <c r="H13" s="82" t="s">
        <v>129</v>
      </c>
      <c r="I13" s="27"/>
      <c r="J13" s="27"/>
      <c r="K13" s="27"/>
      <c r="L13" s="27"/>
      <c r="M13" s="27">
        <v>5</v>
      </c>
      <c r="O13" s="82" t="s">
        <v>121</v>
      </c>
      <c r="P13" s="27"/>
      <c r="Q13" s="27"/>
      <c r="R13" s="27"/>
      <c r="S13" s="27"/>
      <c r="T13" s="27">
        <v>5</v>
      </c>
    </row>
    <row r="14" spans="1:20" ht="21.65" customHeight="1" x14ac:dyDescent="0.35">
      <c r="A14" s="82" t="s">
        <v>132</v>
      </c>
      <c r="B14" s="27"/>
      <c r="C14" s="27"/>
      <c r="D14" s="27">
        <v>3</v>
      </c>
      <c r="E14" s="27"/>
      <c r="F14" s="27"/>
      <c r="H14" s="82" t="s">
        <v>132</v>
      </c>
      <c r="I14" s="27"/>
      <c r="J14" s="27"/>
      <c r="K14" s="27">
        <v>3</v>
      </c>
      <c r="L14" s="27"/>
      <c r="M14" s="27"/>
      <c r="O14" s="82" t="s">
        <v>122</v>
      </c>
      <c r="P14" s="27"/>
      <c r="Q14" s="27"/>
      <c r="R14" s="27">
        <v>3</v>
      </c>
      <c r="S14" s="27"/>
      <c r="T14" s="27"/>
    </row>
    <row r="15" spans="1:20" ht="15.5" x14ac:dyDescent="0.35">
      <c r="A15" s="19"/>
      <c r="B15" s="42">
        <f>SUM(B11:B14)</f>
        <v>0</v>
      </c>
      <c r="C15" s="42">
        <f t="shared" ref="C15:F15" si="3">SUM(C11:C14)</f>
        <v>0</v>
      </c>
      <c r="D15" s="42">
        <f t="shared" si="3"/>
        <v>6</v>
      </c>
      <c r="E15" s="42">
        <f t="shared" si="3"/>
        <v>8</v>
      </c>
      <c r="F15" s="42">
        <f t="shared" si="3"/>
        <v>0</v>
      </c>
      <c r="H15" s="19"/>
      <c r="I15" s="42">
        <f>SUM(I11:I14)</f>
        <v>0</v>
      </c>
      <c r="J15" s="42">
        <f t="shared" ref="J15:M15" si="4">SUM(J11:J14)</f>
        <v>0</v>
      </c>
      <c r="K15" s="42">
        <f t="shared" si="4"/>
        <v>6</v>
      </c>
      <c r="L15" s="42">
        <f t="shared" si="4"/>
        <v>4</v>
      </c>
      <c r="M15" s="42">
        <f t="shared" si="4"/>
        <v>5</v>
      </c>
      <c r="O15" s="19"/>
      <c r="P15" s="42">
        <f>SUM(P11:P14)</f>
        <v>0</v>
      </c>
      <c r="Q15" s="42">
        <f t="shared" ref="Q15:T15" si="5">SUM(Q11:Q14)</f>
        <v>0</v>
      </c>
      <c r="R15" s="42">
        <f t="shared" si="5"/>
        <v>6</v>
      </c>
      <c r="S15" s="42">
        <f t="shared" si="5"/>
        <v>4</v>
      </c>
      <c r="T15" s="42">
        <f t="shared" si="5"/>
        <v>5</v>
      </c>
    </row>
    <row r="16" spans="1:20" ht="15.5" x14ac:dyDescent="0.35">
      <c r="A16" s="19"/>
      <c r="B16" s="117"/>
      <c r="C16" s="117"/>
      <c r="D16" s="117"/>
      <c r="E16" s="117"/>
      <c r="F16" s="28">
        <f>SUM(B15:F15)/5</f>
        <v>2.8</v>
      </c>
      <c r="I16" s="117"/>
      <c r="J16" s="117"/>
      <c r="K16" s="117"/>
      <c r="L16" s="117"/>
      <c r="M16" s="28">
        <f>SUM(I15:M15)/5</f>
        <v>3</v>
      </c>
      <c r="P16" s="117"/>
      <c r="Q16" s="117"/>
      <c r="R16" s="117"/>
      <c r="S16" s="117"/>
      <c r="T16" s="28">
        <f>SUM(P15:T15)/5</f>
        <v>3</v>
      </c>
    </row>
    <row r="17" spans="1:20" ht="15.5" x14ac:dyDescent="0.35">
      <c r="A17" s="20" t="s">
        <v>135</v>
      </c>
      <c r="B17" s="41" t="s">
        <v>32</v>
      </c>
      <c r="C17" s="41" t="s">
        <v>31</v>
      </c>
      <c r="D17" s="41" t="s">
        <v>36</v>
      </c>
      <c r="E17" s="41" t="s">
        <v>30</v>
      </c>
      <c r="F17" s="41" t="s">
        <v>29</v>
      </c>
      <c r="H17" s="20" t="s">
        <v>135</v>
      </c>
      <c r="I17" s="41" t="s">
        <v>32</v>
      </c>
      <c r="J17" s="41" t="s">
        <v>31</v>
      </c>
      <c r="K17" s="41" t="s">
        <v>36</v>
      </c>
      <c r="L17" s="41" t="s">
        <v>30</v>
      </c>
      <c r="M17" s="41" t="s">
        <v>29</v>
      </c>
      <c r="O17" s="20" t="s">
        <v>135</v>
      </c>
      <c r="P17" s="41" t="s">
        <v>32</v>
      </c>
      <c r="Q17" s="41" t="s">
        <v>31</v>
      </c>
      <c r="R17" s="41" t="s">
        <v>36</v>
      </c>
      <c r="S17" s="41" t="s">
        <v>30</v>
      </c>
      <c r="T17" s="41" t="s">
        <v>29</v>
      </c>
    </row>
    <row r="18" spans="1:20" ht="15.5" x14ac:dyDescent="0.35">
      <c r="A18" s="43" t="s">
        <v>34</v>
      </c>
      <c r="B18" s="43">
        <v>1</v>
      </c>
      <c r="C18" s="43">
        <v>2</v>
      </c>
      <c r="D18" s="43">
        <v>3</v>
      </c>
      <c r="E18" s="43">
        <v>4</v>
      </c>
      <c r="F18" s="43">
        <v>5</v>
      </c>
      <c r="H18" s="43" t="s">
        <v>34</v>
      </c>
      <c r="I18" s="43">
        <v>1</v>
      </c>
      <c r="J18" s="43">
        <v>2</v>
      </c>
      <c r="K18" s="43">
        <v>3</v>
      </c>
      <c r="L18" s="43">
        <v>4</v>
      </c>
      <c r="M18" s="43">
        <v>5</v>
      </c>
      <c r="O18" s="43" t="s">
        <v>34</v>
      </c>
      <c r="P18" s="43">
        <v>1</v>
      </c>
      <c r="Q18" s="43">
        <v>2</v>
      </c>
      <c r="R18" s="43">
        <v>3</v>
      </c>
      <c r="S18" s="43">
        <v>4</v>
      </c>
      <c r="T18" s="43">
        <v>5</v>
      </c>
    </row>
    <row r="19" spans="1:20" ht="25" customHeight="1" x14ac:dyDescent="0.35">
      <c r="A19" s="82" t="s">
        <v>54</v>
      </c>
      <c r="B19" s="27"/>
      <c r="C19" s="27"/>
      <c r="D19" s="27"/>
      <c r="E19" s="27">
        <v>4</v>
      </c>
      <c r="F19" s="27"/>
      <c r="H19" s="82" t="s">
        <v>128</v>
      </c>
      <c r="I19" s="27"/>
      <c r="J19" s="27"/>
      <c r="K19" s="27"/>
      <c r="L19" s="27">
        <v>4</v>
      </c>
      <c r="M19" s="27"/>
      <c r="O19" s="82" t="s">
        <v>120</v>
      </c>
      <c r="P19" s="27"/>
      <c r="Q19" s="27"/>
      <c r="R19" s="27"/>
      <c r="S19" s="27">
        <v>4</v>
      </c>
      <c r="T19" s="27"/>
    </row>
    <row r="20" spans="1:20" ht="24" customHeight="1" x14ac:dyDescent="0.35">
      <c r="A20" s="82" t="s">
        <v>57</v>
      </c>
      <c r="B20" s="27"/>
      <c r="C20" s="27"/>
      <c r="D20" s="27"/>
      <c r="E20" s="27">
        <v>4</v>
      </c>
      <c r="F20" s="27"/>
      <c r="H20" s="82" t="s">
        <v>127</v>
      </c>
      <c r="I20" s="27"/>
      <c r="J20" s="27"/>
      <c r="K20" s="27"/>
      <c r="L20" s="27">
        <v>4</v>
      </c>
      <c r="M20" s="27"/>
      <c r="O20" s="82" t="s">
        <v>55</v>
      </c>
      <c r="P20" s="27"/>
      <c r="Q20" s="27"/>
      <c r="R20" s="27"/>
      <c r="S20" s="27">
        <v>4</v>
      </c>
      <c r="T20" s="27"/>
    </row>
    <row r="21" spans="1:20" ht="23.15" customHeight="1" x14ac:dyDescent="0.35">
      <c r="A21" s="82" t="s">
        <v>53</v>
      </c>
      <c r="B21" s="27"/>
      <c r="C21" s="27"/>
      <c r="D21" s="27"/>
      <c r="E21" s="27">
        <v>4</v>
      </c>
      <c r="F21" s="27"/>
      <c r="H21" s="82" t="s">
        <v>129</v>
      </c>
      <c r="I21" s="27"/>
      <c r="J21" s="27"/>
      <c r="K21" s="27"/>
      <c r="L21" s="27"/>
      <c r="M21" s="27">
        <v>5</v>
      </c>
      <c r="O21" s="82" t="s">
        <v>121</v>
      </c>
      <c r="P21" s="27"/>
      <c r="Q21" s="27"/>
      <c r="R21" s="27"/>
      <c r="S21" s="27"/>
      <c r="T21" s="27">
        <v>5</v>
      </c>
    </row>
    <row r="22" spans="1:20" ht="26.5" customHeight="1" x14ac:dyDescent="0.35">
      <c r="A22" s="82" t="s">
        <v>132</v>
      </c>
      <c r="B22" s="27"/>
      <c r="C22" s="27"/>
      <c r="D22" s="27">
        <v>3</v>
      </c>
      <c r="E22" s="27"/>
      <c r="F22" s="27"/>
      <c r="H22" s="82" t="s">
        <v>132</v>
      </c>
      <c r="I22" s="27"/>
      <c r="J22" s="27"/>
      <c r="K22" s="27">
        <v>3</v>
      </c>
      <c r="L22" s="27"/>
      <c r="M22" s="27"/>
      <c r="O22" s="82" t="s">
        <v>122</v>
      </c>
      <c r="P22" s="27"/>
      <c r="Q22" s="27"/>
      <c r="R22" s="27"/>
      <c r="S22" s="27">
        <v>4</v>
      </c>
      <c r="T22" s="27"/>
    </row>
    <row r="23" spans="1:20" ht="15.5" x14ac:dyDescent="0.35">
      <c r="A23" s="19"/>
      <c r="B23" s="42">
        <f>SUM(B19:B22)</f>
        <v>0</v>
      </c>
      <c r="C23" s="42">
        <f t="shared" ref="C23:F23" si="6">SUM(C19:C22)</f>
        <v>0</v>
      </c>
      <c r="D23" s="42">
        <f t="shared" si="6"/>
        <v>3</v>
      </c>
      <c r="E23" s="42">
        <f t="shared" si="6"/>
        <v>12</v>
      </c>
      <c r="F23" s="42">
        <f t="shared" si="6"/>
        <v>0</v>
      </c>
      <c r="H23" s="19"/>
      <c r="I23" s="42">
        <f>SUM(I19:I22)</f>
        <v>0</v>
      </c>
      <c r="J23" s="42">
        <f t="shared" ref="J23:M23" si="7">SUM(J19:J22)</f>
        <v>0</v>
      </c>
      <c r="K23" s="42">
        <f t="shared" si="7"/>
        <v>3</v>
      </c>
      <c r="L23" s="42">
        <f t="shared" si="7"/>
        <v>8</v>
      </c>
      <c r="M23" s="42">
        <f t="shared" si="7"/>
        <v>5</v>
      </c>
      <c r="O23" s="19"/>
      <c r="P23" s="42">
        <f>SUM(P19:P22)</f>
        <v>0</v>
      </c>
      <c r="Q23" s="42">
        <f t="shared" ref="Q23:T23" si="8">SUM(Q19:Q22)</f>
        <v>0</v>
      </c>
      <c r="R23" s="42">
        <f t="shared" si="8"/>
        <v>0</v>
      </c>
      <c r="S23" s="42">
        <f t="shared" si="8"/>
        <v>12</v>
      </c>
      <c r="T23" s="42">
        <f t="shared" si="8"/>
        <v>5</v>
      </c>
    </row>
    <row r="24" spans="1:20" ht="15.5" x14ac:dyDescent="0.35">
      <c r="A24" s="19"/>
      <c r="B24" s="117"/>
      <c r="C24" s="117"/>
      <c r="D24" s="117"/>
      <c r="E24" s="117"/>
      <c r="F24" s="28">
        <f>SUM(B23:F23)/5</f>
        <v>3</v>
      </c>
      <c r="I24" s="117"/>
      <c r="J24" s="117"/>
      <c r="K24" s="117"/>
      <c r="L24" s="117"/>
      <c r="M24" s="28">
        <f>SUM(I23:M23)/5</f>
        <v>3.2</v>
      </c>
      <c r="P24" s="117"/>
      <c r="Q24" s="117"/>
      <c r="R24" s="117"/>
      <c r="S24" s="117"/>
      <c r="T24" s="28">
        <f>SUM(P23:T23)/5</f>
        <v>3.4</v>
      </c>
    </row>
    <row r="25" spans="1:20" ht="15.5" x14ac:dyDescent="0.35">
      <c r="A25" s="20" t="s">
        <v>136</v>
      </c>
      <c r="B25" s="41" t="s">
        <v>32</v>
      </c>
      <c r="C25" s="41" t="s">
        <v>31</v>
      </c>
      <c r="D25" s="41" t="s">
        <v>36</v>
      </c>
      <c r="E25" s="41" t="s">
        <v>30</v>
      </c>
      <c r="F25" s="41" t="s">
        <v>29</v>
      </c>
      <c r="H25" s="20" t="s">
        <v>136</v>
      </c>
      <c r="I25" s="41" t="s">
        <v>32</v>
      </c>
      <c r="J25" s="41" t="s">
        <v>31</v>
      </c>
      <c r="K25" s="41" t="s">
        <v>36</v>
      </c>
      <c r="L25" s="41" t="s">
        <v>30</v>
      </c>
      <c r="M25" s="41" t="s">
        <v>29</v>
      </c>
      <c r="O25" s="20" t="s">
        <v>136</v>
      </c>
      <c r="P25" s="41" t="s">
        <v>32</v>
      </c>
      <c r="Q25" s="41" t="s">
        <v>31</v>
      </c>
      <c r="R25" s="41" t="s">
        <v>36</v>
      </c>
      <c r="S25" s="41" t="s">
        <v>30</v>
      </c>
      <c r="T25" s="41" t="s">
        <v>29</v>
      </c>
    </row>
    <row r="26" spans="1:20" ht="15.5" x14ac:dyDescent="0.35">
      <c r="A26" s="43" t="s">
        <v>34</v>
      </c>
      <c r="B26" s="43">
        <v>1</v>
      </c>
      <c r="C26" s="43">
        <v>2</v>
      </c>
      <c r="D26" s="43">
        <v>3</v>
      </c>
      <c r="E26" s="43">
        <v>4</v>
      </c>
      <c r="F26" s="43">
        <v>5</v>
      </c>
      <c r="H26" s="43" t="s">
        <v>34</v>
      </c>
      <c r="I26" s="43">
        <v>1</v>
      </c>
      <c r="J26" s="43">
        <v>2</v>
      </c>
      <c r="K26" s="43">
        <v>3</v>
      </c>
      <c r="L26" s="43">
        <v>4</v>
      </c>
      <c r="M26" s="43">
        <v>5</v>
      </c>
      <c r="O26" s="43" t="s">
        <v>34</v>
      </c>
      <c r="P26" s="43">
        <v>1</v>
      </c>
      <c r="Q26" s="43">
        <v>2</v>
      </c>
      <c r="R26" s="43">
        <v>3</v>
      </c>
      <c r="S26" s="43">
        <v>4</v>
      </c>
      <c r="T26" s="43">
        <v>5</v>
      </c>
    </row>
    <row r="27" spans="1:20" ht="23.15" customHeight="1" x14ac:dyDescent="0.35">
      <c r="A27" s="82" t="s">
        <v>54</v>
      </c>
      <c r="B27" s="27"/>
      <c r="C27" s="27"/>
      <c r="D27" s="27"/>
      <c r="E27" s="27">
        <v>4</v>
      </c>
      <c r="F27" s="27"/>
      <c r="H27" s="82" t="s">
        <v>128</v>
      </c>
      <c r="I27" s="27"/>
      <c r="J27" s="27"/>
      <c r="K27" s="27"/>
      <c r="L27" s="27">
        <v>4</v>
      </c>
      <c r="M27" s="27"/>
      <c r="O27" s="82" t="s">
        <v>120</v>
      </c>
      <c r="P27" s="27"/>
      <c r="Q27" s="27"/>
      <c r="R27" s="27"/>
      <c r="S27" s="27">
        <v>4</v>
      </c>
      <c r="T27" s="27"/>
    </row>
    <row r="28" spans="1:20" ht="21.65" customHeight="1" x14ac:dyDescent="0.35">
      <c r="A28" s="82" t="s">
        <v>57</v>
      </c>
      <c r="B28" s="27"/>
      <c r="C28" s="27"/>
      <c r="D28" s="27"/>
      <c r="E28" s="27">
        <v>4</v>
      </c>
      <c r="F28" s="27"/>
      <c r="H28" s="82" t="s">
        <v>127</v>
      </c>
      <c r="I28" s="27"/>
      <c r="J28" s="27"/>
      <c r="K28" s="27"/>
      <c r="L28" s="27">
        <v>4</v>
      </c>
      <c r="M28" s="27"/>
      <c r="O28" s="82" t="s">
        <v>55</v>
      </c>
      <c r="P28" s="27"/>
      <c r="Q28" s="27"/>
      <c r="R28" s="27"/>
      <c r="S28" s="27">
        <v>4</v>
      </c>
      <c r="T28" s="27"/>
    </row>
    <row r="29" spans="1:20" ht="19.5" customHeight="1" x14ac:dyDescent="0.35">
      <c r="A29" s="82" t="s">
        <v>53</v>
      </c>
      <c r="B29" s="27"/>
      <c r="C29" s="27"/>
      <c r="D29" s="27"/>
      <c r="E29" s="27">
        <v>4</v>
      </c>
      <c r="F29" s="27"/>
      <c r="H29" s="82" t="s">
        <v>129</v>
      </c>
      <c r="I29" s="27"/>
      <c r="J29" s="27"/>
      <c r="K29" s="27"/>
      <c r="L29" s="27">
        <v>4</v>
      </c>
      <c r="M29" s="27"/>
      <c r="O29" s="82" t="s">
        <v>121</v>
      </c>
      <c r="P29" s="27"/>
      <c r="Q29" s="27"/>
      <c r="R29" s="27"/>
      <c r="S29" s="27"/>
      <c r="T29" s="27">
        <v>5</v>
      </c>
    </row>
    <row r="30" spans="1:20" ht="22" customHeight="1" x14ac:dyDescent="0.35">
      <c r="A30" s="82" t="s">
        <v>132</v>
      </c>
      <c r="B30" s="27"/>
      <c r="C30" s="27"/>
      <c r="D30" s="27">
        <v>3</v>
      </c>
      <c r="E30" s="27"/>
      <c r="F30" s="27"/>
      <c r="H30" s="82" t="s">
        <v>132</v>
      </c>
      <c r="I30" s="27"/>
      <c r="J30" s="27"/>
      <c r="K30" s="27"/>
      <c r="L30" s="27">
        <v>4</v>
      </c>
      <c r="M30" s="27"/>
      <c r="O30" s="82" t="s">
        <v>122</v>
      </c>
      <c r="P30" s="27"/>
      <c r="Q30" s="27"/>
      <c r="R30" s="27"/>
      <c r="S30" s="27">
        <v>4</v>
      </c>
      <c r="T30" s="27"/>
    </row>
    <row r="31" spans="1:20" ht="15.5" x14ac:dyDescent="0.35">
      <c r="A31" s="19"/>
      <c r="B31" s="42">
        <f>SUM(B27:B30)</f>
        <v>0</v>
      </c>
      <c r="C31" s="42">
        <f t="shared" ref="C31:F31" si="9">SUM(C27:C30)</f>
        <v>0</v>
      </c>
      <c r="D31" s="42">
        <f t="shared" si="9"/>
        <v>3</v>
      </c>
      <c r="E31" s="42">
        <f t="shared" si="9"/>
        <v>12</v>
      </c>
      <c r="F31" s="42">
        <f t="shared" si="9"/>
        <v>0</v>
      </c>
      <c r="H31" s="19"/>
      <c r="I31" s="42">
        <f>SUM(I27:I30)</f>
        <v>0</v>
      </c>
      <c r="J31" s="42">
        <f t="shared" ref="J31:M31" si="10">SUM(J27:J30)</f>
        <v>0</v>
      </c>
      <c r="K31" s="42">
        <f t="shared" si="10"/>
        <v>0</v>
      </c>
      <c r="L31" s="42">
        <f t="shared" si="10"/>
        <v>16</v>
      </c>
      <c r="M31" s="42">
        <f t="shared" si="10"/>
        <v>0</v>
      </c>
      <c r="O31" s="19"/>
      <c r="P31" s="42">
        <f>SUM(P27:P30)</f>
        <v>0</v>
      </c>
      <c r="Q31" s="42">
        <f t="shared" ref="Q31:T31" si="11">SUM(Q27:Q30)</f>
        <v>0</v>
      </c>
      <c r="R31" s="42">
        <f t="shared" si="11"/>
        <v>0</v>
      </c>
      <c r="S31" s="42">
        <f t="shared" si="11"/>
        <v>12</v>
      </c>
      <c r="T31" s="42">
        <f t="shared" si="11"/>
        <v>5</v>
      </c>
    </row>
    <row r="32" spans="1:20" ht="15.5" x14ac:dyDescent="0.35">
      <c r="B32" s="117"/>
      <c r="C32" s="117"/>
      <c r="D32" s="117"/>
      <c r="E32" s="117"/>
      <c r="F32" s="28">
        <f>SUM(B31:F31)/5</f>
        <v>3</v>
      </c>
      <c r="I32" s="117"/>
      <c r="J32" s="117"/>
      <c r="K32" s="117"/>
      <c r="L32" s="117"/>
      <c r="M32" s="28">
        <f>SUM(I31:M31)/5</f>
        <v>3.2</v>
      </c>
      <c r="P32" s="117"/>
      <c r="Q32" s="117"/>
      <c r="R32" s="117"/>
      <c r="S32" s="117"/>
      <c r="T32" s="28">
        <f>SUM(P31:T31)/5</f>
        <v>3.4</v>
      </c>
    </row>
    <row r="34" spans="6:20" x14ac:dyDescent="0.35">
      <c r="F34" s="118">
        <f>(F32+F24+F16+F8)/4</f>
        <v>2.85</v>
      </c>
      <c r="M34" s="118">
        <f>(M32+M24+M16+M8)/4</f>
        <v>3.1</v>
      </c>
      <c r="T34" s="118">
        <f>(T32+T24+T16+T8)/4</f>
        <v>3.2</v>
      </c>
    </row>
  </sheetData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1C48-100C-4837-B779-82F9590D7FF2}">
  <dimension ref="A1:M34"/>
  <sheetViews>
    <sheetView workbookViewId="0">
      <selection activeCell="H33" sqref="H33"/>
    </sheetView>
  </sheetViews>
  <sheetFormatPr defaultRowHeight="14.5" x14ac:dyDescent="0.35"/>
  <cols>
    <col min="1" max="1" width="44.26953125" bestFit="1" customWidth="1"/>
    <col min="8" max="8" width="44.26953125" bestFit="1" customWidth="1"/>
  </cols>
  <sheetData>
    <row r="1" spans="1:13" ht="15.5" x14ac:dyDescent="0.35">
      <c r="A1" s="20" t="s">
        <v>143</v>
      </c>
      <c r="B1" s="41" t="s">
        <v>32</v>
      </c>
      <c r="C1" s="41" t="s">
        <v>31</v>
      </c>
      <c r="D1" s="41" t="s">
        <v>36</v>
      </c>
      <c r="E1" s="41" t="s">
        <v>30</v>
      </c>
      <c r="F1" s="41" t="s">
        <v>29</v>
      </c>
      <c r="H1" s="20" t="s">
        <v>144</v>
      </c>
      <c r="I1" s="41" t="s">
        <v>32</v>
      </c>
      <c r="J1" s="41" t="s">
        <v>31</v>
      </c>
      <c r="K1" s="41" t="s">
        <v>36</v>
      </c>
      <c r="L1" s="41" t="s">
        <v>30</v>
      </c>
      <c r="M1" s="41" t="s">
        <v>29</v>
      </c>
    </row>
    <row r="2" spans="1:13" ht="15.5" x14ac:dyDescent="0.35">
      <c r="A2" s="43" t="s">
        <v>34</v>
      </c>
      <c r="B2" s="43">
        <v>1</v>
      </c>
      <c r="C2" s="43">
        <v>2</v>
      </c>
      <c r="D2" s="43">
        <v>3</v>
      </c>
      <c r="E2" s="43">
        <v>4</v>
      </c>
      <c r="F2" s="43">
        <v>5</v>
      </c>
      <c r="H2" s="43" t="s">
        <v>34</v>
      </c>
      <c r="I2" s="43">
        <v>1</v>
      </c>
      <c r="J2" s="43">
        <v>2</v>
      </c>
      <c r="K2" s="43">
        <v>3</v>
      </c>
      <c r="L2" s="43">
        <v>4</v>
      </c>
      <c r="M2" s="43">
        <v>5</v>
      </c>
    </row>
    <row r="3" spans="1:13" ht="25" customHeight="1" x14ac:dyDescent="0.35">
      <c r="A3" s="82" t="s">
        <v>33</v>
      </c>
      <c r="B3" s="27"/>
      <c r="C3" s="27"/>
      <c r="D3" s="27"/>
      <c r="E3" s="27"/>
      <c r="F3" s="27"/>
      <c r="H3" s="82" t="s">
        <v>33</v>
      </c>
      <c r="I3" s="27"/>
      <c r="J3" s="27"/>
      <c r="K3" s="27"/>
      <c r="L3" s="27"/>
      <c r="M3" s="27"/>
    </row>
    <row r="4" spans="1:13" ht="27" customHeight="1" x14ac:dyDescent="0.35">
      <c r="A4" s="82" t="s">
        <v>28</v>
      </c>
      <c r="B4" s="27"/>
      <c r="C4" s="27"/>
      <c r="D4" s="27"/>
      <c r="E4" s="27"/>
      <c r="F4" s="27"/>
      <c r="H4" s="82" t="s">
        <v>28</v>
      </c>
      <c r="I4" s="27"/>
      <c r="J4" s="27"/>
      <c r="K4" s="27"/>
      <c r="L4" s="27"/>
      <c r="M4" s="27"/>
    </row>
    <row r="5" spans="1:13" ht="22" customHeight="1" x14ac:dyDescent="0.35">
      <c r="A5" s="82" t="s">
        <v>37</v>
      </c>
      <c r="B5" s="27"/>
      <c r="C5" s="27"/>
      <c r="D5" s="27"/>
      <c r="E5" s="27"/>
      <c r="F5" s="27"/>
      <c r="H5" s="82" t="s">
        <v>37</v>
      </c>
      <c r="I5" s="27"/>
      <c r="J5" s="27"/>
      <c r="K5" s="27"/>
      <c r="L5" s="27"/>
      <c r="M5" s="27"/>
    </row>
    <row r="6" spans="1:13" ht="24" customHeight="1" x14ac:dyDescent="0.35">
      <c r="A6" s="82" t="s">
        <v>35</v>
      </c>
      <c r="B6" s="27"/>
      <c r="C6" s="27"/>
      <c r="D6" s="27"/>
      <c r="E6" s="27"/>
      <c r="F6" s="27"/>
      <c r="H6" s="82" t="s">
        <v>35</v>
      </c>
      <c r="I6" s="27"/>
      <c r="J6" s="27"/>
      <c r="K6" s="27"/>
      <c r="L6" s="27"/>
      <c r="M6" s="27"/>
    </row>
    <row r="7" spans="1:13" ht="15.5" x14ac:dyDescent="0.35">
      <c r="A7" s="19"/>
      <c r="B7" s="42">
        <f>SUM(B3:B6)</f>
        <v>0</v>
      </c>
      <c r="C7" s="42">
        <f t="shared" ref="C7:F7" si="0">SUM(C3:C6)</f>
        <v>0</v>
      </c>
      <c r="D7" s="42">
        <f t="shared" si="0"/>
        <v>0</v>
      </c>
      <c r="E7" s="42">
        <f t="shared" si="0"/>
        <v>0</v>
      </c>
      <c r="F7" s="42">
        <f t="shared" si="0"/>
        <v>0</v>
      </c>
      <c r="H7" s="19"/>
      <c r="I7" s="42">
        <f>SUM(I3:I6)</f>
        <v>0</v>
      </c>
      <c r="J7" s="42">
        <f t="shared" ref="J7:M7" si="1">SUM(J3:J6)</f>
        <v>0</v>
      </c>
      <c r="K7" s="42">
        <f t="shared" si="1"/>
        <v>0</v>
      </c>
      <c r="L7" s="42">
        <f t="shared" si="1"/>
        <v>0</v>
      </c>
      <c r="M7" s="42">
        <f t="shared" si="1"/>
        <v>0</v>
      </c>
    </row>
    <row r="8" spans="1:13" ht="15.5" x14ac:dyDescent="0.35">
      <c r="B8" s="117"/>
      <c r="C8" s="117"/>
      <c r="D8" s="117"/>
      <c r="E8" s="117"/>
      <c r="F8" s="28">
        <f>SUM(B7:F7)/5</f>
        <v>0</v>
      </c>
      <c r="I8" s="117"/>
      <c r="J8" s="117"/>
      <c r="K8" s="117"/>
      <c r="L8" s="117"/>
      <c r="M8" s="28">
        <f>SUM(I7:M7)/5</f>
        <v>0</v>
      </c>
    </row>
    <row r="9" spans="1:13" ht="15.5" x14ac:dyDescent="0.35">
      <c r="A9" s="20" t="s">
        <v>134</v>
      </c>
      <c r="B9" s="41" t="s">
        <v>32</v>
      </c>
      <c r="C9" s="41" t="s">
        <v>31</v>
      </c>
      <c r="D9" s="41" t="s">
        <v>36</v>
      </c>
      <c r="E9" s="41" t="s">
        <v>30</v>
      </c>
      <c r="F9" s="41" t="s">
        <v>29</v>
      </c>
      <c r="H9" s="20" t="s">
        <v>134</v>
      </c>
      <c r="I9" s="41" t="s">
        <v>32</v>
      </c>
      <c r="J9" s="41" t="s">
        <v>31</v>
      </c>
      <c r="K9" s="41" t="s">
        <v>36</v>
      </c>
      <c r="L9" s="41" t="s">
        <v>30</v>
      </c>
      <c r="M9" s="41" t="s">
        <v>29</v>
      </c>
    </row>
    <row r="10" spans="1:13" ht="15.5" x14ac:dyDescent="0.35">
      <c r="A10" s="43" t="s">
        <v>34</v>
      </c>
      <c r="B10" s="43">
        <v>1</v>
      </c>
      <c r="C10" s="43">
        <v>2</v>
      </c>
      <c r="D10" s="43">
        <v>3</v>
      </c>
      <c r="E10" s="43">
        <v>4</v>
      </c>
      <c r="F10" s="43">
        <v>5</v>
      </c>
      <c r="H10" s="43" t="s">
        <v>34</v>
      </c>
      <c r="I10" s="43">
        <v>1</v>
      </c>
      <c r="J10" s="43">
        <v>2</v>
      </c>
      <c r="K10" s="43">
        <v>3</v>
      </c>
      <c r="L10" s="43">
        <v>4</v>
      </c>
      <c r="M10" s="43">
        <v>5</v>
      </c>
    </row>
    <row r="11" spans="1:13" ht="21" customHeight="1" x14ac:dyDescent="0.35">
      <c r="A11" s="82" t="s">
        <v>33</v>
      </c>
      <c r="B11" s="27"/>
      <c r="C11" s="27"/>
      <c r="D11" s="27"/>
      <c r="E11" s="27"/>
      <c r="F11" s="27"/>
      <c r="H11" s="82" t="s">
        <v>33</v>
      </c>
      <c r="I11" s="27"/>
      <c r="J11" s="27"/>
      <c r="K11" s="27"/>
      <c r="L11" s="27"/>
      <c r="M11" s="27"/>
    </row>
    <row r="12" spans="1:13" ht="24" customHeight="1" x14ac:dyDescent="0.35">
      <c r="A12" s="82" t="s">
        <v>28</v>
      </c>
      <c r="B12" s="27"/>
      <c r="C12" s="27"/>
      <c r="D12" s="27"/>
      <c r="E12" s="27"/>
      <c r="F12" s="27"/>
      <c r="H12" s="82" t="s">
        <v>28</v>
      </c>
      <c r="I12" s="27"/>
      <c r="J12" s="27"/>
      <c r="K12" s="27"/>
      <c r="L12" s="27"/>
      <c r="M12" s="27"/>
    </row>
    <row r="13" spans="1:13" ht="22" customHeight="1" x14ac:dyDescent="0.35">
      <c r="A13" s="82" t="s">
        <v>37</v>
      </c>
      <c r="B13" s="27"/>
      <c r="C13" s="27"/>
      <c r="D13" s="27"/>
      <c r="E13" s="27"/>
      <c r="F13" s="27"/>
      <c r="H13" s="82" t="s">
        <v>37</v>
      </c>
      <c r="I13" s="27"/>
      <c r="J13" s="27"/>
      <c r="K13" s="27"/>
      <c r="L13" s="27"/>
      <c r="M13" s="27"/>
    </row>
    <row r="14" spans="1:13" ht="23.15" customHeight="1" x14ac:dyDescent="0.35">
      <c r="A14" s="82" t="s">
        <v>35</v>
      </c>
      <c r="B14" s="27"/>
      <c r="C14" s="27"/>
      <c r="D14" s="27"/>
      <c r="E14" s="27"/>
      <c r="F14" s="27"/>
      <c r="H14" s="82" t="s">
        <v>35</v>
      </c>
      <c r="I14" s="27"/>
      <c r="J14" s="27"/>
      <c r="K14" s="27"/>
      <c r="L14" s="27"/>
      <c r="M14" s="27"/>
    </row>
    <row r="15" spans="1:13" ht="15.5" x14ac:dyDescent="0.35">
      <c r="A15" s="19"/>
      <c r="B15" s="42">
        <f>SUM(B11:B14)</f>
        <v>0</v>
      </c>
      <c r="C15" s="42">
        <f t="shared" ref="C15:F15" si="2">SUM(C11:C14)</f>
        <v>0</v>
      </c>
      <c r="D15" s="42">
        <f t="shared" si="2"/>
        <v>0</v>
      </c>
      <c r="E15" s="42">
        <f t="shared" si="2"/>
        <v>0</v>
      </c>
      <c r="F15" s="42">
        <f t="shared" si="2"/>
        <v>0</v>
      </c>
      <c r="H15" s="19"/>
      <c r="I15" s="42">
        <f>SUM(I11:I14)</f>
        <v>0</v>
      </c>
      <c r="J15" s="42">
        <f t="shared" ref="J15:M15" si="3">SUM(J11:J14)</f>
        <v>0</v>
      </c>
      <c r="K15" s="42">
        <f t="shared" si="3"/>
        <v>0</v>
      </c>
      <c r="L15" s="42">
        <f t="shared" si="3"/>
        <v>0</v>
      </c>
      <c r="M15" s="42">
        <f t="shared" si="3"/>
        <v>0</v>
      </c>
    </row>
    <row r="16" spans="1:13" ht="15.5" x14ac:dyDescent="0.35">
      <c r="B16" s="117"/>
      <c r="C16" s="117"/>
      <c r="D16" s="117"/>
      <c r="E16" s="117"/>
      <c r="F16" s="28">
        <f>SUM(B15:F15)/5</f>
        <v>0</v>
      </c>
      <c r="I16" s="117"/>
      <c r="J16" s="117"/>
      <c r="K16" s="117"/>
      <c r="L16" s="117"/>
      <c r="M16" s="28">
        <f>SUM(I15:M15)/5</f>
        <v>0</v>
      </c>
    </row>
    <row r="17" spans="1:13" ht="15.5" x14ac:dyDescent="0.35">
      <c r="A17" s="20" t="s">
        <v>135</v>
      </c>
      <c r="B17" s="41" t="s">
        <v>32</v>
      </c>
      <c r="C17" s="41" t="s">
        <v>31</v>
      </c>
      <c r="D17" s="41" t="s">
        <v>36</v>
      </c>
      <c r="E17" s="41" t="s">
        <v>30</v>
      </c>
      <c r="F17" s="41" t="s">
        <v>29</v>
      </c>
      <c r="H17" s="20" t="s">
        <v>135</v>
      </c>
      <c r="I17" s="41" t="s">
        <v>32</v>
      </c>
      <c r="J17" s="41" t="s">
        <v>31</v>
      </c>
      <c r="K17" s="41" t="s">
        <v>36</v>
      </c>
      <c r="L17" s="41" t="s">
        <v>30</v>
      </c>
      <c r="M17" s="41" t="s">
        <v>29</v>
      </c>
    </row>
    <row r="18" spans="1:13" ht="15.5" x14ac:dyDescent="0.35">
      <c r="A18" s="43" t="s">
        <v>34</v>
      </c>
      <c r="B18" s="43">
        <v>1</v>
      </c>
      <c r="C18" s="43">
        <v>2</v>
      </c>
      <c r="D18" s="43">
        <v>3</v>
      </c>
      <c r="E18" s="43">
        <v>4</v>
      </c>
      <c r="F18" s="43">
        <v>5</v>
      </c>
      <c r="H18" s="43" t="s">
        <v>34</v>
      </c>
      <c r="I18" s="43">
        <v>1</v>
      </c>
      <c r="J18" s="43">
        <v>2</v>
      </c>
      <c r="K18" s="43">
        <v>3</v>
      </c>
      <c r="L18" s="43">
        <v>4</v>
      </c>
      <c r="M18" s="43">
        <v>5</v>
      </c>
    </row>
    <row r="19" spans="1:13" ht="24" customHeight="1" x14ac:dyDescent="0.35">
      <c r="A19" s="82" t="s">
        <v>33</v>
      </c>
      <c r="B19" s="27"/>
      <c r="C19" s="27"/>
      <c r="D19" s="27"/>
      <c r="E19" s="27"/>
      <c r="F19" s="27"/>
      <c r="H19" s="82" t="s">
        <v>33</v>
      </c>
      <c r="I19" s="27"/>
      <c r="J19" s="27"/>
      <c r="K19" s="27"/>
      <c r="L19" s="27"/>
      <c r="M19" s="27"/>
    </row>
    <row r="20" spans="1:13" ht="24.65" customHeight="1" x14ac:dyDescent="0.35">
      <c r="A20" s="82" t="s">
        <v>28</v>
      </c>
      <c r="B20" s="27"/>
      <c r="C20" s="27"/>
      <c r="D20" s="27"/>
      <c r="E20" s="27"/>
      <c r="F20" s="27"/>
      <c r="H20" s="82" t="s">
        <v>28</v>
      </c>
      <c r="I20" s="27"/>
      <c r="J20" s="27"/>
      <c r="K20" s="27"/>
      <c r="L20" s="27"/>
      <c r="M20" s="27"/>
    </row>
    <row r="21" spans="1:13" ht="24.65" customHeight="1" x14ac:dyDescent="0.35">
      <c r="A21" s="82" t="s">
        <v>37</v>
      </c>
      <c r="B21" s="27"/>
      <c r="C21" s="27"/>
      <c r="D21" s="27"/>
      <c r="E21" s="27"/>
      <c r="F21" s="27"/>
      <c r="H21" s="82" t="s">
        <v>37</v>
      </c>
      <c r="I21" s="27"/>
      <c r="J21" s="27"/>
      <c r="K21" s="27"/>
      <c r="L21" s="27"/>
      <c r="M21" s="27"/>
    </row>
    <row r="22" spans="1:13" ht="21.65" customHeight="1" x14ac:dyDescent="0.35">
      <c r="A22" s="82" t="s">
        <v>35</v>
      </c>
      <c r="B22" s="27"/>
      <c r="C22" s="27"/>
      <c r="D22" s="27"/>
      <c r="E22" s="27"/>
      <c r="F22" s="27"/>
      <c r="H22" s="82" t="s">
        <v>35</v>
      </c>
      <c r="I22" s="27"/>
      <c r="J22" s="27"/>
      <c r="K22" s="27"/>
      <c r="L22" s="27"/>
      <c r="M22" s="27"/>
    </row>
    <row r="23" spans="1:13" ht="16.5" customHeight="1" x14ac:dyDescent="0.35">
      <c r="A23" s="19"/>
      <c r="B23" s="42">
        <f>SUM(B19:B22)</f>
        <v>0</v>
      </c>
      <c r="C23" s="42">
        <f t="shared" ref="C23:F23" si="4">SUM(C19:C22)</f>
        <v>0</v>
      </c>
      <c r="D23" s="42">
        <f t="shared" si="4"/>
        <v>0</v>
      </c>
      <c r="E23" s="42">
        <f t="shared" si="4"/>
        <v>0</v>
      </c>
      <c r="F23" s="42">
        <f t="shared" si="4"/>
        <v>0</v>
      </c>
      <c r="H23" s="19"/>
      <c r="I23" s="42">
        <f>SUM(I19:I22)</f>
        <v>0</v>
      </c>
      <c r="J23" s="42">
        <f t="shared" ref="J23:M23" si="5">SUM(J19:J22)</f>
        <v>0</v>
      </c>
      <c r="K23" s="42">
        <f t="shared" si="5"/>
        <v>0</v>
      </c>
      <c r="L23" s="42">
        <f t="shared" si="5"/>
        <v>0</v>
      </c>
      <c r="M23" s="42">
        <f t="shared" si="5"/>
        <v>0</v>
      </c>
    </row>
    <row r="24" spans="1:13" ht="15.5" x14ac:dyDescent="0.35">
      <c r="B24" s="117"/>
      <c r="C24" s="117"/>
      <c r="D24" s="117"/>
      <c r="E24" s="117"/>
      <c r="F24" s="28">
        <f>SUM(B23:F23)/5</f>
        <v>0</v>
      </c>
      <c r="I24" s="117"/>
      <c r="J24" s="117"/>
      <c r="K24" s="117"/>
      <c r="L24" s="117"/>
      <c r="M24" s="28">
        <f>SUM(I23:M23)/5</f>
        <v>0</v>
      </c>
    </row>
    <row r="25" spans="1:13" ht="15.5" x14ac:dyDescent="0.35">
      <c r="A25" s="20" t="s">
        <v>136</v>
      </c>
      <c r="B25" s="41" t="s">
        <v>32</v>
      </c>
      <c r="C25" s="41" t="s">
        <v>31</v>
      </c>
      <c r="D25" s="41" t="s">
        <v>36</v>
      </c>
      <c r="E25" s="41" t="s">
        <v>30</v>
      </c>
      <c r="F25" s="41" t="s">
        <v>29</v>
      </c>
      <c r="H25" s="20" t="s">
        <v>136</v>
      </c>
      <c r="I25" s="41" t="s">
        <v>32</v>
      </c>
      <c r="J25" s="41" t="s">
        <v>31</v>
      </c>
      <c r="K25" s="41" t="s">
        <v>36</v>
      </c>
      <c r="L25" s="41" t="s">
        <v>30</v>
      </c>
      <c r="M25" s="41" t="s">
        <v>29</v>
      </c>
    </row>
    <row r="26" spans="1:13" ht="15.5" x14ac:dyDescent="0.35">
      <c r="A26" s="43" t="s">
        <v>34</v>
      </c>
      <c r="B26" s="43">
        <v>1</v>
      </c>
      <c r="C26" s="43">
        <v>2</v>
      </c>
      <c r="D26" s="43">
        <v>3</v>
      </c>
      <c r="E26" s="43">
        <v>4</v>
      </c>
      <c r="F26" s="43">
        <v>5</v>
      </c>
      <c r="H26" s="43" t="s">
        <v>34</v>
      </c>
      <c r="I26" s="43">
        <v>1</v>
      </c>
      <c r="J26" s="43">
        <v>2</v>
      </c>
      <c r="K26" s="43">
        <v>3</v>
      </c>
      <c r="L26" s="43">
        <v>4</v>
      </c>
      <c r="M26" s="43">
        <v>5</v>
      </c>
    </row>
    <row r="27" spans="1:13" ht="22" customHeight="1" x14ac:dyDescent="0.35">
      <c r="A27" s="82" t="s">
        <v>33</v>
      </c>
      <c r="B27" s="27"/>
      <c r="C27" s="27"/>
      <c r="D27" s="27"/>
      <c r="E27" s="27"/>
      <c r="F27" s="27"/>
      <c r="H27" s="82" t="s">
        <v>33</v>
      </c>
      <c r="I27" s="27"/>
      <c r="J27" s="27"/>
      <c r="K27" s="27"/>
      <c r="L27" s="27"/>
      <c r="M27" s="27"/>
    </row>
    <row r="28" spans="1:13" ht="22.5" customHeight="1" x14ac:dyDescent="0.35">
      <c r="A28" s="82" t="s">
        <v>28</v>
      </c>
      <c r="B28" s="27"/>
      <c r="C28" s="27"/>
      <c r="D28" s="27"/>
      <c r="E28" s="27"/>
      <c r="F28" s="27"/>
      <c r="H28" s="82" t="s">
        <v>28</v>
      </c>
      <c r="I28" s="27"/>
      <c r="J28" s="27"/>
      <c r="K28" s="27"/>
      <c r="L28" s="27"/>
      <c r="M28" s="27"/>
    </row>
    <row r="29" spans="1:13" ht="20.149999999999999" customHeight="1" x14ac:dyDescent="0.35">
      <c r="A29" s="82" t="s">
        <v>37</v>
      </c>
      <c r="B29" s="27"/>
      <c r="C29" s="27"/>
      <c r="D29" s="27"/>
      <c r="E29" s="27"/>
      <c r="F29" s="27"/>
      <c r="H29" s="82" t="s">
        <v>37</v>
      </c>
      <c r="I29" s="27"/>
      <c r="J29" s="27"/>
      <c r="K29" s="27"/>
      <c r="L29" s="27"/>
      <c r="M29" s="27"/>
    </row>
    <row r="30" spans="1:13" ht="20.5" customHeight="1" x14ac:dyDescent="0.35">
      <c r="A30" s="82" t="s">
        <v>35</v>
      </c>
      <c r="B30" s="27"/>
      <c r="C30" s="27"/>
      <c r="D30" s="27"/>
      <c r="E30" s="27"/>
      <c r="F30" s="27"/>
      <c r="H30" s="82" t="s">
        <v>35</v>
      </c>
      <c r="I30" s="27"/>
      <c r="J30" s="27"/>
      <c r="K30" s="27"/>
      <c r="L30" s="27"/>
      <c r="M30" s="27"/>
    </row>
    <row r="31" spans="1:13" ht="15.5" x14ac:dyDescent="0.35">
      <c r="A31" s="19"/>
      <c r="B31" s="42">
        <f>SUM(B27:B30)</f>
        <v>0</v>
      </c>
      <c r="C31" s="42">
        <f t="shared" ref="C31:F31" si="6">SUM(C27:C30)</f>
        <v>0</v>
      </c>
      <c r="D31" s="42">
        <f t="shared" si="6"/>
        <v>0</v>
      </c>
      <c r="E31" s="42">
        <f t="shared" si="6"/>
        <v>0</v>
      </c>
      <c r="F31" s="42">
        <f t="shared" si="6"/>
        <v>0</v>
      </c>
      <c r="H31" s="19"/>
      <c r="I31" s="42">
        <f>SUM(I27:I30)</f>
        <v>0</v>
      </c>
      <c r="J31" s="42">
        <f t="shared" ref="J31:M31" si="7">SUM(J27:J30)</f>
        <v>0</v>
      </c>
      <c r="K31" s="42">
        <f t="shared" si="7"/>
        <v>0</v>
      </c>
      <c r="L31" s="42">
        <f t="shared" si="7"/>
        <v>0</v>
      </c>
      <c r="M31" s="42">
        <f t="shared" si="7"/>
        <v>0</v>
      </c>
    </row>
    <row r="32" spans="1:13" ht="15.5" x14ac:dyDescent="0.35">
      <c r="B32" s="117"/>
      <c r="C32" s="117"/>
      <c r="D32" s="117"/>
      <c r="E32" s="117"/>
      <c r="F32" s="28">
        <f>SUM(B31:F31)/5</f>
        <v>0</v>
      </c>
      <c r="I32" s="117"/>
      <c r="J32" s="117"/>
      <c r="K32" s="117"/>
      <c r="L32" s="117"/>
      <c r="M32" s="28">
        <f>SUM(I31:M31)/5</f>
        <v>0</v>
      </c>
    </row>
    <row r="34" spans="6:13" x14ac:dyDescent="0.35">
      <c r="F34" s="118">
        <f>(F32+F24+F16+F8)/4</f>
        <v>0</v>
      </c>
      <c r="M34" s="118">
        <f>(M32+M24+M16+M8)/4</f>
        <v>0</v>
      </c>
    </row>
  </sheetData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</vt:lpstr>
      <vt:lpstr>Incentive</vt:lpstr>
      <vt:lpstr>KRA Assessment Mechanic</vt:lpstr>
      <vt:lpstr>Mechanic KRA Print</vt:lpstr>
      <vt:lpstr>Spare part</vt:lpstr>
      <vt:lpstr>Spare part admin</vt:lpstr>
      <vt:lpstr>Service advisor</vt:lpstr>
      <vt:lpstr>'Mechanic KRA Print'!Print_Area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Goenka</dc:creator>
  <cp:lastModifiedBy>Harshit Goenka</cp:lastModifiedBy>
  <cp:lastPrinted>2026-06-15T09:29:14Z</cp:lastPrinted>
  <dcterms:created xsi:type="dcterms:W3CDTF">2026-05-20T11:07:57Z</dcterms:created>
  <dcterms:modified xsi:type="dcterms:W3CDTF">2026-07-01T10:00:43Z</dcterms:modified>
</cp:coreProperties>
</file>